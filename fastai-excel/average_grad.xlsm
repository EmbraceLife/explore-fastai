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atsume/Documents/explore-fastai/fastai-excel/"/>
    </mc:Choice>
  </mc:AlternateContent>
  <xr:revisionPtr revIDLastSave="0" documentId="13_ncr:1_{DE8EB2B1-6F7A-6149-8A9D-2DCB6E725F1D}" xr6:coauthVersionLast="47" xr6:coauthVersionMax="47" xr10:uidLastSave="{00000000-0000-0000-0000-000000000000}"/>
  <bookViews>
    <workbookView xWindow="0" yWindow="460" windowWidth="25600" windowHeight="15540" activeTab="2" xr2:uid="{9ADB88F8-8907-FF4F-B54E-37EA376C1290}"/>
  </bookViews>
  <sheets>
    <sheet name="average_grad" sheetId="1" r:id="rId1"/>
    <sheet name="momentum_step" sheetId="2" r:id="rId2"/>
    <sheet name="weight_decay vs l2_reg" sheetId="4" r:id="rId3"/>
  </sheets>
  <functionGroups builtInGroupCount="19">
    <functionGroup name="My Custom Category"/>
  </functionGroups>
  <externalReferences>
    <externalReference r:id="rId4"/>
  </externalReferences>
  <definedNames>
    <definedName name="_xlchart.v1.0" hidden="1">'weight_decay vs l2_reg'!$F$4</definedName>
    <definedName name="_xlchart.v1.1" hidden="1">'weight_decay vs l2_reg'!$F$5:$F$33</definedName>
    <definedName name="_xlchart.v1.2" hidden="1">'weight_decay vs l2_reg'!$G$4</definedName>
    <definedName name="_xlchart.v1.3" hidden="1">'weight_decay vs l2_reg'!$G$5:$G$33</definedName>
    <definedName name="_xlchart.v1.4" hidden="1">'weight_decay vs l2_reg'!$H$4</definedName>
    <definedName name="_xlchart.v1.5" hidden="1">'weight_decay vs l2_reg'!$H$5:$H$33</definedName>
    <definedName name="_xlpm.d" hidden="1" xlm="1">#NAME?</definedName>
    <definedName name="_xlpm.damp" hidden="1" xlm="1">#NAME?</definedName>
    <definedName name="_xlpm.g" hidden="1" xlm="1">#NAME?</definedName>
    <definedName name="_xlpm.grad" hidden="1" xlm="1">#NAME?</definedName>
    <definedName name="_xlpm.lr" hidden="1" xlm="1">#NAME?</definedName>
    <definedName name="_xlpm.m" hidden="1" xlm="1">#NAME?</definedName>
    <definedName name="_xlpm.p" hidden="1" xlm="1">#NAME?</definedName>
    <definedName name="_xlpm.p_data" hidden="1" xlm="1">#NAME?</definedName>
    <definedName name="_xlpm.s" hidden="1" xlm="1">#NAME?</definedName>
    <definedName name="average_grad" localSheetId="1">_xlfn.LAMBDA(_xlpm.p,_xlpm.m,_xlpm.d,_xlpm.g,_xlpm.s, _xlfn.LET(_xlpm.damp, IF(_xlpm.d=TRUE,1-_xlpm.m,1), _xlpm.grad, IF(_xlpm.g="None",_xlpm.p*0,_xlpm.s), _xlpm.grad*_xlpm.m+_xlpm.p*_xlpm.damp))</definedName>
    <definedName name="average_grad">_xlfn.LAMBDA(_xlpm.p,_xlpm.m,_xlpm.d,_xlpm.g,_xlpm.s, _xlfn.LET(_xlpm.damp, IF(_xlpm.d=TRUE,1-_xlpm.m,1), _xlpm.grad, IF(_xlpm.g="None",_xlpm.p*0,_xlpm.s), _xlpm.grad*_xlpm.m+_xlpm.p*_xlpm.damp))</definedName>
    <definedName name="grad_ini" localSheetId="1">#REF!</definedName>
    <definedName name="grad_ini">average_grad!$D$48:$D$51</definedName>
    <definedName name="last_grad" localSheetId="1">#REF!</definedName>
    <definedName name="last_grad">average_grad!$C$103:$C$106</definedName>
    <definedName name="momentum_step">_xlfn.LAMBDA(_xlpm.p_data,_xlpm.lr,_xlpm.grad, _xlpm.p_data-_xlpm.lr*_xlpm.grad)</definedName>
    <definedName name="p.grad" localSheetId="1">#REF!</definedName>
    <definedName name="p.grad">average_grad!$B$43:$B$46</definedName>
  </definedNames>
  <calcPr calcId="191029"/>
  <extLst>
    <ext xmlns:x14="http://schemas.microsoft.com/office/spreadsheetml/2009/9/main" uri="{8193D73E-4604-4355-AFF4-8A2333D13BE4}">
      <x14:definedNames>
        <x14:definedName name="addNum">
          <x14:argumentDescriptions count="2">
            <x14:argumentDescription index="0">1st number as type Double</x14:argumentDescription>
            <x14:argumentDescription index="1">2nd number as type Double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5" i="4" l="1" a="1"/>
  <c r="K5" i="4" s="1"/>
  <c r="H5" i="4" s="1"/>
  <c r="J18" i="4" a="1"/>
  <c r="J18" i="4" s="1"/>
  <c r="I18" i="4" s="1" a="1"/>
  <c r="I18" i="4" s="1"/>
  <c r="J5" i="4" a="1"/>
  <c r="J5" i="4" s="1"/>
  <c r="I5" i="4" s="1" a="1"/>
  <c r="I5" i="4" s="1"/>
  <c r="O43" i="4" a="1"/>
  <c r="O43" i="4" s="1"/>
  <c r="B6" i="4"/>
  <c r="J6" i="4" s="1" a="1"/>
  <c r="J6" i="4" s="1"/>
  <c r="I6" i="4" s="1" a="1"/>
  <c r="I6" i="4" s="1"/>
  <c r="B7" i="4"/>
  <c r="J7" i="4" s="1" a="1"/>
  <c r="J7" i="4" s="1"/>
  <c r="I7" i="4" s="1" a="1"/>
  <c r="I7" i="4" s="1"/>
  <c r="B8" i="4"/>
  <c r="J8" i="4" s="1" a="1"/>
  <c r="J8" i="4" s="1"/>
  <c r="I8" i="4" s="1" a="1"/>
  <c r="I8" i="4" s="1"/>
  <c r="B9" i="4"/>
  <c r="J9" i="4" s="1" a="1"/>
  <c r="J9" i="4" s="1"/>
  <c r="G9" i="4" s="1"/>
  <c r="B10" i="4"/>
  <c r="J10" i="4" s="1" a="1"/>
  <c r="J10" i="4" s="1"/>
  <c r="I10" i="4" s="1" a="1"/>
  <c r="I10" i="4" s="1"/>
  <c r="B11" i="4"/>
  <c r="J11" i="4" s="1" a="1"/>
  <c r="J11" i="4" s="1"/>
  <c r="I11" i="4" s="1" a="1"/>
  <c r="I11" i="4" s="1"/>
  <c r="B12" i="4"/>
  <c r="J12" i="4" s="1" a="1"/>
  <c r="J12" i="4" s="1"/>
  <c r="I12" i="4" s="1" a="1"/>
  <c r="I12" i="4" s="1"/>
  <c r="B13" i="4"/>
  <c r="J13" i="4" s="1" a="1"/>
  <c r="J13" i="4" s="1"/>
  <c r="G13" i="4" s="1"/>
  <c r="B14" i="4"/>
  <c r="J14" i="4" s="1" a="1"/>
  <c r="J14" i="4" s="1"/>
  <c r="I14" i="4" s="1" a="1"/>
  <c r="I14" i="4" s="1"/>
  <c r="B15" i="4"/>
  <c r="J15" i="4" s="1" a="1"/>
  <c r="J15" i="4" s="1"/>
  <c r="I15" i="4" s="1" a="1"/>
  <c r="I15" i="4" s="1"/>
  <c r="B16" i="4"/>
  <c r="J16" i="4" s="1" a="1"/>
  <c r="J16" i="4" s="1"/>
  <c r="I16" i="4" s="1" a="1"/>
  <c r="I16" i="4" s="1"/>
  <c r="B17" i="4"/>
  <c r="J17" i="4" s="1" a="1"/>
  <c r="J17" i="4" s="1"/>
  <c r="G17" i="4" s="1"/>
  <c r="B18" i="4"/>
  <c r="B19" i="4"/>
  <c r="J19" i="4" s="1" a="1"/>
  <c r="J19" i="4" s="1"/>
  <c r="I19" i="4" s="1" a="1"/>
  <c r="I19" i="4" s="1"/>
  <c r="B20" i="4"/>
  <c r="J20" i="4" s="1" a="1"/>
  <c r="J20" i="4" s="1"/>
  <c r="I20" i="4" s="1" a="1"/>
  <c r="I20" i="4" s="1"/>
  <c r="B21" i="4"/>
  <c r="J21" i="4" s="1" a="1"/>
  <c r="J21" i="4" s="1"/>
  <c r="G21" i="4" s="1"/>
  <c r="B22" i="4"/>
  <c r="J22" i="4" s="1" a="1"/>
  <c r="J22" i="4" s="1"/>
  <c r="I22" i="4" s="1" a="1"/>
  <c r="I22" i="4" s="1"/>
  <c r="B23" i="4"/>
  <c r="J23" i="4" s="1" a="1"/>
  <c r="J23" i="4" s="1"/>
  <c r="I23" i="4" s="1" a="1"/>
  <c r="I23" i="4" s="1"/>
  <c r="B24" i="4"/>
  <c r="J24" i="4" s="1" a="1"/>
  <c r="J24" i="4" s="1"/>
  <c r="I24" i="4" s="1" a="1"/>
  <c r="I24" i="4" s="1"/>
  <c r="B25" i="4"/>
  <c r="J25" i="4" s="1" a="1"/>
  <c r="J25" i="4" s="1"/>
  <c r="G25" i="4" s="1"/>
  <c r="B26" i="4"/>
  <c r="J26" i="4" s="1" a="1"/>
  <c r="J26" i="4" s="1"/>
  <c r="I26" i="4" s="1" a="1"/>
  <c r="I26" i="4" s="1"/>
  <c r="B27" i="4"/>
  <c r="J27" i="4" s="1" a="1"/>
  <c r="J27" i="4" s="1"/>
  <c r="I27" i="4" s="1" a="1"/>
  <c r="I27" i="4" s="1"/>
  <c r="B28" i="4"/>
  <c r="J28" i="4" s="1" a="1"/>
  <c r="J28" i="4" s="1"/>
  <c r="I28" i="4" s="1" a="1"/>
  <c r="I28" i="4" s="1"/>
  <c r="B29" i="4"/>
  <c r="J29" i="4" s="1" a="1"/>
  <c r="J29" i="4" s="1"/>
  <c r="G29" i="4" s="1"/>
  <c r="B30" i="4"/>
  <c r="J30" i="4" s="1" a="1"/>
  <c r="J30" i="4" s="1"/>
  <c r="I30" i="4" s="1" a="1"/>
  <c r="I30" i="4" s="1"/>
  <c r="B31" i="4"/>
  <c r="J31" i="4" s="1" a="1"/>
  <c r="J31" i="4" s="1"/>
  <c r="I31" i="4" s="1" a="1"/>
  <c r="I31" i="4" s="1"/>
  <c r="B32" i="4"/>
  <c r="J32" i="4" s="1" a="1"/>
  <c r="J32" i="4" s="1"/>
  <c r="I32" i="4" s="1" a="1"/>
  <c r="I32" i="4" s="1"/>
  <c r="B33" i="4"/>
  <c r="J33" i="4" s="1" a="1"/>
  <c r="J33" i="4" s="1"/>
  <c r="G33" i="4" s="1"/>
  <c r="B5" i="4"/>
  <c r="C6" i="4"/>
  <c r="C7" i="4"/>
  <c r="C8" i="4"/>
  <c r="C9" i="4"/>
  <c r="L9" i="4" s="1"/>
  <c r="C10" i="4"/>
  <c r="C11" i="4"/>
  <c r="C12" i="4"/>
  <c r="C13" i="4"/>
  <c r="L13" i="4" s="1"/>
  <c r="C14" i="4"/>
  <c r="C15" i="4"/>
  <c r="C16" i="4"/>
  <c r="C17" i="4"/>
  <c r="L17" i="4" s="1"/>
  <c r="C18" i="4"/>
  <c r="C19" i="4"/>
  <c r="C20" i="4"/>
  <c r="C21" i="4"/>
  <c r="L21" i="4" s="1"/>
  <c r="C22" i="4"/>
  <c r="C23" i="4"/>
  <c r="C24" i="4"/>
  <c r="C25" i="4"/>
  <c r="L25" i="4" s="1"/>
  <c r="C26" i="4"/>
  <c r="C27" i="4"/>
  <c r="C28" i="4"/>
  <c r="C29" i="4"/>
  <c r="L29" i="4" s="1"/>
  <c r="C30" i="4"/>
  <c r="C31" i="4"/>
  <c r="C32" i="4"/>
  <c r="L32" i="4" s="1"/>
  <c r="G32" i="4" s="1"/>
  <c r="C33" i="4"/>
  <c r="L33" i="4" s="1"/>
  <c r="C5" i="4"/>
  <c r="M5" i="4" s="1"/>
  <c r="F5" i="4" s="1"/>
  <c r="A17" i="2" a="1"/>
  <c r="A17" i="2" s="1"/>
  <c r="C108" i="1" a="1"/>
  <c r="C108" i="1" s="1"/>
  <c r="C103" i="1" a="1"/>
  <c r="C103" i="1" s="1"/>
  <c r="C79" i="1" a="1"/>
  <c r="C79" i="1" s="1"/>
  <c r="D62" i="1" a="1"/>
  <c r="D62" i="1" s="1"/>
  <c r="A62" i="1" a="1"/>
  <c r="A62" i="1" s="1"/>
  <c r="C62" i="1" a="1"/>
  <c r="C62" i="1" s="1"/>
  <c r="B43" i="1" a="1"/>
  <c r="B43" i="1" s="1"/>
  <c r="A43" i="1" a="1"/>
  <c r="A43" i="1" s="1"/>
  <c r="A79" i="1"/>
  <c r="I29" i="4" l="1" a="1"/>
  <c r="I29" i="4" s="1"/>
  <c r="I13" i="4" a="1"/>
  <c r="I13" i="4" s="1"/>
  <c r="I21" i="4" a="1"/>
  <c r="I21" i="4" s="1"/>
  <c r="I33" i="4" a="1"/>
  <c r="I33" i="4" s="1"/>
  <c r="I25" i="4" a="1"/>
  <c r="I25" i="4" s="1"/>
  <c r="I17" i="4" a="1"/>
  <c r="I17" i="4" s="1"/>
  <c r="I9" i="4" a="1"/>
  <c r="I9" i="4" s="1"/>
  <c r="E33" i="4"/>
  <c r="E29" i="4"/>
  <c r="E25" i="4"/>
  <c r="E21" i="4"/>
  <c r="E17" i="4"/>
  <c r="E13" i="4"/>
  <c r="E9" i="4"/>
  <c r="M31" i="4"/>
  <c r="M27" i="4"/>
  <c r="M23" i="4"/>
  <c r="M19" i="4"/>
  <c r="K19" i="4" s="1" a="1"/>
  <c r="K19" i="4" s="1"/>
  <c r="H19" i="4" s="1"/>
  <c r="M15" i="4"/>
  <c r="M11" i="4"/>
  <c r="M7" i="4"/>
  <c r="K7" i="4" s="1" a="1"/>
  <c r="K7" i="4" s="1"/>
  <c r="H7" i="4" s="1"/>
  <c r="F19" i="4"/>
  <c r="M33" i="4"/>
  <c r="M29" i="4"/>
  <c r="M25" i="4"/>
  <c r="M21" i="4"/>
  <c r="M17" i="4"/>
  <c r="M13" i="4"/>
  <c r="M9" i="4"/>
  <c r="Q50" i="4" a="1"/>
  <c r="Q50" i="4" s="1"/>
  <c r="O50" i="4" a="1"/>
  <c r="O50" i="4" s="1"/>
  <c r="M26" i="4"/>
  <c r="D32" i="4"/>
  <c r="M32" i="4"/>
  <c r="M30" i="4"/>
  <c r="D28" i="4"/>
  <c r="M28" i="4"/>
  <c r="M22" i="4"/>
  <c r="M18" i="4"/>
  <c r="M14" i="4"/>
  <c r="M10" i="4"/>
  <c r="M6" i="4"/>
  <c r="D24" i="4"/>
  <c r="M24" i="4"/>
  <c r="D20" i="4"/>
  <c r="M20" i="4"/>
  <c r="D16" i="4"/>
  <c r="M16" i="4"/>
  <c r="D12" i="4"/>
  <c r="M12" i="4"/>
  <c r="D8" i="4"/>
  <c r="M8" i="4"/>
  <c r="E32" i="4"/>
  <c r="D33" i="4"/>
  <c r="D17" i="4"/>
  <c r="D29" i="4"/>
  <c r="D13" i="4"/>
  <c r="D25" i="4"/>
  <c r="D9" i="4"/>
  <c r="D21" i="4"/>
  <c r="L5" i="4"/>
  <c r="L20" i="4"/>
  <c r="D31" i="4"/>
  <c r="D27" i="4"/>
  <c r="D23" i="4"/>
  <c r="D19" i="4"/>
  <c r="D15" i="4"/>
  <c r="D11" i="4"/>
  <c r="D7" i="4"/>
  <c r="L16" i="4"/>
  <c r="D5" i="4"/>
  <c r="D30" i="4"/>
  <c r="D26" i="4"/>
  <c r="D22" i="4"/>
  <c r="D18" i="4"/>
  <c r="D14" i="4"/>
  <c r="D10" i="4"/>
  <c r="D6" i="4"/>
  <c r="L28" i="4"/>
  <c r="L12" i="4"/>
  <c r="L24" i="4"/>
  <c r="L8" i="4"/>
  <c r="L31" i="4"/>
  <c r="L27" i="4"/>
  <c r="L23" i="4"/>
  <c r="L19" i="4"/>
  <c r="L15" i="4"/>
  <c r="L11" i="4"/>
  <c r="L7" i="4"/>
  <c r="L30" i="4"/>
  <c r="L26" i="4"/>
  <c r="L22" i="4"/>
  <c r="L18" i="4"/>
  <c r="L14" i="4"/>
  <c r="L10" i="4"/>
  <c r="L6" i="4"/>
  <c r="A24" i="2" a="1"/>
  <c r="A24" i="2" s="1"/>
  <c r="C24" i="2" a="1"/>
  <c r="C24" i="2" s="1"/>
  <c r="A103" i="1" a="1"/>
  <c r="A103" i="1" s="1"/>
  <c r="F23" i="4" l="1"/>
  <c r="K23" i="4" a="1"/>
  <c r="K23" i="4" s="1"/>
  <c r="H23" i="4" s="1"/>
  <c r="F10" i="4"/>
  <c r="K10" i="4" a="1"/>
  <c r="K10" i="4" s="1"/>
  <c r="H10" i="4" s="1"/>
  <c r="F28" i="4"/>
  <c r="K28" i="4" a="1"/>
  <c r="K28" i="4" s="1"/>
  <c r="H28" i="4" s="1"/>
  <c r="F9" i="4"/>
  <c r="K9" i="4" a="1"/>
  <c r="K9" i="4" s="1"/>
  <c r="H9" i="4" s="1"/>
  <c r="F25" i="4"/>
  <c r="K25" i="4" a="1"/>
  <c r="K25" i="4" s="1"/>
  <c r="H25" i="4" s="1"/>
  <c r="F8" i="4"/>
  <c r="K8" i="4" a="1"/>
  <c r="K8" i="4" s="1"/>
  <c r="H8" i="4" s="1"/>
  <c r="F16" i="4"/>
  <c r="K16" i="4" a="1"/>
  <c r="K16" i="4" s="1"/>
  <c r="H16" i="4" s="1"/>
  <c r="F24" i="4"/>
  <c r="K24" i="4" a="1"/>
  <c r="K24" i="4" s="1"/>
  <c r="H24" i="4" s="1"/>
  <c r="F14" i="4"/>
  <c r="K14" i="4" a="1"/>
  <c r="K14" i="4" s="1"/>
  <c r="H14" i="4" s="1"/>
  <c r="F26" i="4"/>
  <c r="K26" i="4" a="1"/>
  <c r="K26" i="4" s="1"/>
  <c r="H26" i="4" s="1"/>
  <c r="F13" i="4"/>
  <c r="K13" i="4" a="1"/>
  <c r="K13" i="4" s="1"/>
  <c r="H13" i="4" s="1"/>
  <c r="F29" i="4"/>
  <c r="K29" i="4" a="1"/>
  <c r="K29" i="4" s="1"/>
  <c r="H29" i="4" s="1"/>
  <c r="F18" i="4"/>
  <c r="K18" i="4" a="1"/>
  <c r="K18" i="4" s="1"/>
  <c r="H18" i="4" s="1"/>
  <c r="F30" i="4"/>
  <c r="K30" i="4" a="1"/>
  <c r="K30" i="4" s="1"/>
  <c r="H30" i="4" s="1"/>
  <c r="F17" i="4"/>
  <c r="K17" i="4" a="1"/>
  <c r="K17" i="4" s="1"/>
  <c r="H17" i="4" s="1"/>
  <c r="F33" i="4"/>
  <c r="K33" i="4" a="1"/>
  <c r="K33" i="4" s="1"/>
  <c r="H33" i="4" s="1"/>
  <c r="F11" i="4"/>
  <c r="K11" i="4" a="1"/>
  <c r="K11" i="4" s="1"/>
  <c r="H11" i="4" s="1"/>
  <c r="F27" i="4"/>
  <c r="K27" i="4" a="1"/>
  <c r="K27" i="4" s="1"/>
  <c r="H27" i="4" s="1"/>
  <c r="F12" i="4"/>
  <c r="K12" i="4" a="1"/>
  <c r="K12" i="4" s="1"/>
  <c r="H12" i="4" s="1"/>
  <c r="F20" i="4"/>
  <c r="K20" i="4" a="1"/>
  <c r="K20" i="4" s="1"/>
  <c r="H20" i="4" s="1"/>
  <c r="F6" i="4"/>
  <c r="K6" i="4" a="1"/>
  <c r="K6" i="4" s="1"/>
  <c r="H6" i="4" s="1"/>
  <c r="F22" i="4"/>
  <c r="K22" i="4" a="1"/>
  <c r="K22" i="4" s="1"/>
  <c r="H22" i="4" s="1"/>
  <c r="F32" i="4"/>
  <c r="K32" i="4" a="1"/>
  <c r="K32" i="4" s="1"/>
  <c r="H32" i="4" s="1"/>
  <c r="F21" i="4"/>
  <c r="K21" i="4" a="1"/>
  <c r="K21" i="4" s="1"/>
  <c r="H21" i="4" s="1"/>
  <c r="F7" i="4"/>
  <c r="F15" i="4"/>
  <c r="K15" i="4" a="1"/>
  <c r="K15" i="4" s="1"/>
  <c r="H15" i="4" s="1"/>
  <c r="F31" i="4"/>
  <c r="K31" i="4" a="1"/>
  <c r="K31" i="4" s="1"/>
  <c r="H31" i="4" s="1"/>
  <c r="E7" i="4"/>
  <c r="G7" i="4"/>
  <c r="E24" i="4"/>
  <c r="G24" i="4"/>
  <c r="E5" i="4"/>
  <c r="G5" i="4"/>
  <c r="E6" i="4"/>
  <c r="G6" i="4"/>
  <c r="E22" i="4"/>
  <c r="G22" i="4"/>
  <c r="E11" i="4"/>
  <c r="G11" i="4"/>
  <c r="E27" i="4"/>
  <c r="G27" i="4"/>
  <c r="E12" i="4"/>
  <c r="G12" i="4"/>
  <c r="E10" i="4"/>
  <c r="G10" i="4"/>
  <c r="E26" i="4"/>
  <c r="G26" i="4"/>
  <c r="E15" i="4"/>
  <c r="G15" i="4"/>
  <c r="E31" i="4"/>
  <c r="G31" i="4"/>
  <c r="E28" i="4"/>
  <c r="G28" i="4"/>
  <c r="E18" i="4"/>
  <c r="G18" i="4"/>
  <c r="E23" i="4"/>
  <c r="G23" i="4"/>
  <c r="E14" i="4"/>
  <c r="G14" i="4"/>
  <c r="E30" i="4"/>
  <c r="G30" i="4"/>
  <c r="E19" i="4"/>
  <c r="G19" i="4"/>
  <c r="E8" i="4"/>
  <c r="G8" i="4"/>
  <c r="E16" i="4"/>
  <c r="G16" i="4"/>
  <c r="E20" i="4"/>
  <c r="G20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DanielLC</author>
  </authors>
  <commentList>
    <comment ref="B42" authorId="0" shapeId="0" xr:uid="{9A43E1F5-7295-0C4D-B0C6-2A8BEB52C1BF}">
      <text>
        <r>
          <rPr>
            <b/>
            <sz val="10"/>
            <color rgb="FF000000"/>
            <rFont val="Tahoma"/>
            <family val="2"/>
          </rPr>
          <t>DanielLC: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When having a different length of array, just change both the size of p.grad and last_grad and grad_ini in the Name Manager</t>
        </r>
      </text>
    </comment>
    <comment ref="B47" authorId="0" shapeId="0" xr:uid="{DDB40617-CC25-FF47-9D14-1F63554B49B8}">
      <text>
        <r>
          <rPr>
            <b/>
            <sz val="10"/>
            <color rgb="FF000000"/>
            <rFont val="Tahoma"/>
            <family val="2"/>
          </rPr>
          <t>DanielLC: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Check below for true or false option</t>
        </r>
      </text>
    </comment>
    <comment ref="C47" authorId="0" shapeId="0" xr:uid="{1979C275-E29E-474C-93C2-227DA1258B81}">
      <text>
        <r>
          <rPr>
            <b/>
            <sz val="10"/>
            <color rgb="FF000000"/>
            <rFont val="Tahoma"/>
            <family val="2"/>
          </rPr>
          <t>DanielLC: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Click the cell below to select an option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DanielLC</author>
  </authors>
  <commentList>
    <comment ref="B6" authorId="0" shapeId="0" xr:uid="{DA9F3ABA-11EB-6D4D-A36F-63A8830DD30F}">
      <text>
        <r>
          <rPr>
            <b/>
            <sz val="10"/>
            <color rgb="FF000000"/>
            <rFont val="Tahoma"/>
            <family val="2"/>
          </rPr>
          <t>DanielLC: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When having a different length of array, just change both the size of p.grad and last_grad and grad_ini in the Name Manager</t>
        </r>
      </text>
    </comment>
    <comment ref="B11" authorId="0" shapeId="0" xr:uid="{5CDA6E25-9398-9C4D-BF7C-010D49FCBE8F}">
      <text>
        <r>
          <rPr>
            <b/>
            <sz val="10"/>
            <color rgb="FF000000"/>
            <rFont val="Tahoma"/>
            <family val="2"/>
          </rPr>
          <t>DanielLC: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Check below for true or false option</t>
        </r>
      </text>
    </comment>
    <comment ref="C11" authorId="0" shapeId="0" xr:uid="{2C2717DF-9DF9-B24B-8FBB-F1364E8C1D41}">
      <text>
        <r>
          <rPr>
            <b/>
            <sz val="10"/>
            <color rgb="FF000000"/>
            <rFont val="Tahoma"/>
            <family val="2"/>
          </rPr>
          <t>DanielLC: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Click the cell below to select an option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DanielLC</author>
  </authors>
  <commentList>
    <comment ref="P32" authorId="0" shapeId="0" xr:uid="{771BA443-B254-0A46-9C5B-F561C89FA268}">
      <text>
        <r>
          <rPr>
            <b/>
            <sz val="10"/>
            <color rgb="FF000000"/>
            <rFont val="Tahoma"/>
            <family val="2"/>
          </rPr>
          <t>DanielLC: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When having a different length of array, just change both the size of p.grad and last_grad and grad_ini in the Name Manager</t>
        </r>
      </text>
    </comment>
    <comment ref="P37" authorId="0" shapeId="0" xr:uid="{FAD37C97-9C0C-F741-B470-6E5F78DF0665}">
      <text>
        <r>
          <rPr>
            <b/>
            <sz val="10"/>
            <color rgb="FF000000"/>
            <rFont val="Tahoma"/>
            <family val="2"/>
          </rPr>
          <t>DanielLC: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Check below for true or false option</t>
        </r>
      </text>
    </comment>
    <comment ref="Q37" authorId="0" shapeId="0" xr:uid="{C6861608-4091-C244-83FD-873A12E6E31C}">
      <text>
        <r>
          <rPr>
            <b/>
            <sz val="10"/>
            <color rgb="FF000000"/>
            <rFont val="Tahoma"/>
            <family val="2"/>
          </rPr>
          <t>DanielLC: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Click the cell below to select an option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<sst xmlns="http://schemas.openxmlformats.org/spreadsheetml/2006/main" count="164" uniqueCount="109">
  <si>
    <t>ipdb&gt; a</t>
  </si>
  <si>
    <t>val = [1, 2, 3]</t>
  </si>
  <si>
    <t>grad = [4, 5, 6]</t>
  </si>
  <si>
    <t>[[1, 2, 3]]</t>
  </si>
  <si>
    <t>tensor([[1, 2, 3]])</t>
  </si>
  <si>
    <t>tensor([[1., 2., 3.]])</t>
  </si>
  <si>
    <t>tensor([[4., 5., 6.]])</t>
  </si>
  <si>
    <t>def tst_param(val, grad=None):</t>
  </si>
  <si>
    <t xml:space="preserve">    "Create a tensor with `val` and a gradient of `grad` for testing"</t>
  </si>
  <si>
    <t xml:space="preserve">    set_trace()</t>
  </si>
  <si>
    <t xml:space="preserve">    res = tensor([val]).float()</t>
  </si>
  <si>
    <t xml:space="preserve">    res.grad = tensor([val/10 if grad is None else grad]).float()</t>
  </si>
  <si>
    <t xml:space="preserve">    return res</t>
  </si>
  <si>
    <t>val</t>
  </si>
  <si>
    <t>grad</t>
  </si>
  <si>
    <t>tensor([val]).float</t>
  </si>
  <si>
    <t>tensor([grad]).float</t>
  </si>
  <si>
    <t>res</t>
  </si>
  <si>
    <t>res.grad</t>
  </si>
  <si>
    <t>p = tensor([[1., 2., 3.]])</t>
  </si>
  <si>
    <t>mom = 0.9</t>
  </si>
  <si>
    <t>dampening = False</t>
  </si>
  <si>
    <t>grad_avg = None</t>
  </si>
  <si>
    <t>kwargs = {}</t>
  </si>
  <si>
    <t>ipdb&gt; pp p.grad.data</t>
  </si>
  <si>
    <t>tensor([[0., 0., 0.]])</t>
  </si>
  <si>
    <t>ipdb&gt; grad_avg = torch.zeros_like(p.grad.data)</t>
  </si>
  <si>
    <t>ipdb&gt; pp grad_avg</t>
  </si>
  <si>
    <t>mom</t>
  </si>
  <si>
    <t>dampening</t>
  </si>
  <si>
    <t>grad_avg</t>
  </si>
  <si>
    <t>state</t>
  </si>
  <si>
    <t>damp</t>
  </si>
  <si>
    <t>&lt;function save_history at 0x13ab0b550&gt;</t>
  </si>
  <si>
    <r>
      <t xml:space="preserve">&gt; </t>
    </r>
    <r>
      <rPr>
        <sz val="14"/>
        <color rgb="FF00A250"/>
        <rFont val="Courier New"/>
        <family val="1"/>
      </rPr>
      <t>/var/folders/gz/ch3n2mp51m9386sytqf97s6w0000gn/T/ipykernel_45132/3917144823.py</t>
    </r>
    <r>
      <rPr>
        <sz val="14"/>
        <color rgb="FF000000"/>
        <rFont val="Courier New"/>
        <family val="1"/>
      </rPr>
      <t>(4)</t>
    </r>
    <r>
      <rPr>
        <sz val="14"/>
        <color rgb="FF60C6C8"/>
        <rFont val="Courier New"/>
        <family val="1"/>
      </rPr>
      <t>tst_param</t>
    </r>
    <r>
      <rPr>
        <sz val="14"/>
        <color rgb="FF208FFB"/>
        <rFont val="Courier New"/>
        <family val="1"/>
      </rPr>
      <t>()</t>
    </r>
  </si>
  <si>
    <r>
      <t xml:space="preserve">      2 </t>
    </r>
    <r>
      <rPr>
        <sz val="14"/>
        <color rgb="FFE75C58"/>
        <rFont val="Courier New"/>
        <family val="1"/>
      </rPr>
      <t xml:space="preserve">    </t>
    </r>
    <r>
      <rPr>
        <sz val="14"/>
        <color rgb="FF208FFB"/>
        <rFont val="Courier New"/>
        <family val="1"/>
      </rPr>
      <t>"Create a tensor with `val` and a gradient of `grad` for testing"</t>
    </r>
  </si>
  <si>
    <r>
      <t xml:space="preserve">      3 </t>
    </r>
    <r>
      <rPr>
        <sz val="14"/>
        <color rgb="FFE75C58"/>
        <rFont val="Courier New"/>
        <family val="1"/>
      </rPr>
      <t xml:space="preserve">    </t>
    </r>
    <r>
      <rPr>
        <sz val="14"/>
        <color rgb="FF000000"/>
        <rFont val="Courier New"/>
        <family val="1"/>
      </rPr>
      <t>set_trace</t>
    </r>
    <r>
      <rPr>
        <sz val="14"/>
        <color rgb="FF208FFB"/>
        <rFont val="Courier New"/>
        <family val="1"/>
      </rPr>
      <t>()</t>
    </r>
  </si>
  <si>
    <r>
      <t xml:space="preserve">----&gt; 4 </t>
    </r>
    <r>
      <rPr>
        <sz val="14"/>
        <color rgb="FFE75C58"/>
        <rFont val="Courier New"/>
        <family val="1"/>
      </rPr>
      <t xml:space="preserve">    </t>
    </r>
    <r>
      <rPr>
        <sz val="14"/>
        <color rgb="FF000000"/>
        <rFont val="Courier New"/>
        <family val="1"/>
      </rPr>
      <t xml:space="preserve">res </t>
    </r>
    <r>
      <rPr>
        <sz val="14"/>
        <color rgb="FF208FFB"/>
        <rFont val="Courier New"/>
        <family val="1"/>
      </rPr>
      <t>=</t>
    </r>
    <r>
      <rPr>
        <sz val="14"/>
        <color rgb="FF000000"/>
        <rFont val="Courier New"/>
        <family val="1"/>
      </rPr>
      <t xml:space="preserve"> tensor</t>
    </r>
    <r>
      <rPr>
        <sz val="14"/>
        <color rgb="FF208FFB"/>
        <rFont val="Courier New"/>
        <family val="1"/>
      </rPr>
      <t>([</t>
    </r>
    <r>
      <rPr>
        <sz val="14"/>
        <color rgb="FF000000"/>
        <rFont val="Courier New"/>
        <family val="1"/>
      </rPr>
      <t>val</t>
    </r>
    <r>
      <rPr>
        <sz val="14"/>
        <color rgb="FF208FFB"/>
        <rFont val="Courier New"/>
        <family val="1"/>
      </rPr>
      <t>]).</t>
    </r>
    <r>
      <rPr>
        <sz val="14"/>
        <color rgb="FF000000"/>
        <rFont val="Courier New"/>
        <family val="1"/>
      </rPr>
      <t>float</t>
    </r>
    <r>
      <rPr>
        <sz val="14"/>
        <color rgb="FF208FFB"/>
        <rFont val="Courier New"/>
        <family val="1"/>
      </rPr>
      <t>()</t>
    </r>
  </si>
  <si>
    <r>
      <t xml:space="preserve">      5 </t>
    </r>
    <r>
      <rPr>
        <sz val="14"/>
        <color rgb="FFE75C58"/>
        <rFont val="Courier New"/>
        <family val="1"/>
      </rPr>
      <t xml:space="preserve">    </t>
    </r>
    <r>
      <rPr>
        <sz val="14"/>
        <color rgb="FF000000"/>
        <rFont val="Courier New"/>
        <family val="1"/>
      </rPr>
      <t>res</t>
    </r>
    <r>
      <rPr>
        <sz val="14"/>
        <color rgb="FF208FFB"/>
        <rFont val="Courier New"/>
        <family val="1"/>
      </rPr>
      <t>.</t>
    </r>
    <r>
      <rPr>
        <sz val="14"/>
        <color rgb="FF000000"/>
        <rFont val="Courier New"/>
        <family val="1"/>
      </rPr>
      <t xml:space="preserve">grad </t>
    </r>
    <r>
      <rPr>
        <sz val="14"/>
        <color rgb="FF208FFB"/>
        <rFont val="Courier New"/>
        <family val="1"/>
      </rPr>
      <t>=</t>
    </r>
    <r>
      <rPr>
        <sz val="14"/>
        <color rgb="FF000000"/>
        <rFont val="Courier New"/>
        <family val="1"/>
      </rPr>
      <t xml:space="preserve"> tensor</t>
    </r>
    <r>
      <rPr>
        <sz val="14"/>
        <color rgb="FF208FFB"/>
        <rFont val="Courier New"/>
        <family val="1"/>
      </rPr>
      <t>([</t>
    </r>
    <r>
      <rPr>
        <sz val="14"/>
        <color rgb="FF000000"/>
        <rFont val="Courier New"/>
        <family val="1"/>
      </rPr>
      <t>val</t>
    </r>
    <r>
      <rPr>
        <sz val="14"/>
        <color rgb="FF208FFB"/>
        <rFont val="Courier New"/>
        <family val="1"/>
      </rPr>
      <t>/</t>
    </r>
    <r>
      <rPr>
        <sz val="14"/>
        <color rgb="FF60C6C8"/>
        <rFont val="Courier New"/>
        <family val="1"/>
      </rPr>
      <t>10</t>
    </r>
    <r>
      <rPr>
        <sz val="14"/>
        <color rgb="FF000000"/>
        <rFont val="Courier New"/>
        <family val="1"/>
      </rPr>
      <t xml:space="preserve"> </t>
    </r>
    <r>
      <rPr>
        <sz val="14"/>
        <color rgb="FF00A250"/>
        <rFont val="Courier New"/>
        <family val="1"/>
      </rPr>
      <t>if</t>
    </r>
    <r>
      <rPr>
        <sz val="14"/>
        <color rgb="FF000000"/>
        <rFont val="Courier New"/>
        <family val="1"/>
      </rPr>
      <t xml:space="preserve"> grad </t>
    </r>
    <r>
      <rPr>
        <sz val="14"/>
        <color rgb="FF00A250"/>
        <rFont val="Courier New"/>
        <family val="1"/>
      </rPr>
      <t>is</t>
    </r>
    <r>
      <rPr>
        <sz val="14"/>
        <color rgb="FF000000"/>
        <rFont val="Courier New"/>
        <family val="1"/>
      </rPr>
      <t xml:space="preserve"> </t>
    </r>
    <r>
      <rPr>
        <sz val="14"/>
        <color rgb="FF00A250"/>
        <rFont val="Courier New"/>
        <family val="1"/>
      </rPr>
      <t>None</t>
    </r>
    <r>
      <rPr>
        <sz val="14"/>
        <color rgb="FF000000"/>
        <rFont val="Courier New"/>
        <family val="1"/>
      </rPr>
      <t xml:space="preserve"> </t>
    </r>
    <r>
      <rPr>
        <sz val="14"/>
        <color rgb="FF00A250"/>
        <rFont val="Courier New"/>
        <family val="1"/>
      </rPr>
      <t>else</t>
    </r>
    <r>
      <rPr>
        <sz val="14"/>
        <color rgb="FF000000"/>
        <rFont val="Courier New"/>
        <family val="1"/>
      </rPr>
      <t xml:space="preserve"> grad</t>
    </r>
    <r>
      <rPr>
        <sz val="14"/>
        <color rgb="FF208FFB"/>
        <rFont val="Courier New"/>
        <family val="1"/>
      </rPr>
      <t>]).</t>
    </r>
    <r>
      <rPr>
        <sz val="14"/>
        <color rgb="FF000000"/>
        <rFont val="Courier New"/>
        <family val="1"/>
      </rPr>
      <t>float</t>
    </r>
    <r>
      <rPr>
        <sz val="14"/>
        <color rgb="FF208FFB"/>
        <rFont val="Courier New"/>
        <family val="1"/>
      </rPr>
      <t>()</t>
    </r>
  </si>
  <si>
    <r>
      <t xml:space="preserve">      6 </t>
    </r>
    <r>
      <rPr>
        <sz val="14"/>
        <color rgb="FFE75C58"/>
        <rFont val="Courier New"/>
        <family val="1"/>
      </rPr>
      <t xml:space="preserve">    </t>
    </r>
    <r>
      <rPr>
        <sz val="14"/>
        <color rgb="FF00A250"/>
        <rFont val="Courier New"/>
        <family val="1"/>
      </rPr>
      <t>return</t>
    </r>
    <r>
      <rPr>
        <sz val="14"/>
        <color rgb="FF000000"/>
        <rFont val="Courier New"/>
        <family val="1"/>
      </rPr>
      <t xml:space="preserve"> res</t>
    </r>
  </si>
  <si>
    <t>ipdb&gt; pp val</t>
  </si>
  <si>
    <t>[1, 2, 3]</t>
  </si>
  <si>
    <t>ipdb&gt; pp [val]</t>
  </si>
  <si>
    <t>ipdb&gt; pp tensor([val])</t>
  </si>
  <si>
    <t>ipdb&gt; pp tensor([val]).float()</t>
  </si>
  <si>
    <t>ipdb&gt; n</t>
  </si>
  <si>
    <r>
      <t xml:space="preserve">&gt; </t>
    </r>
    <r>
      <rPr>
        <sz val="14"/>
        <color rgb="FF00A250"/>
        <rFont val="Courier New"/>
        <family val="1"/>
      </rPr>
      <t>/var/folders/gz/ch3n2mp51m9386sytqf97s6w0000gn/T/ipykernel_45132/3917144823.py</t>
    </r>
    <r>
      <rPr>
        <sz val="14"/>
        <color rgb="FF000000"/>
        <rFont val="Courier New"/>
        <family val="1"/>
      </rPr>
      <t>(5)</t>
    </r>
    <r>
      <rPr>
        <sz val="14"/>
        <color rgb="FF60C6C8"/>
        <rFont val="Courier New"/>
        <family val="1"/>
      </rPr>
      <t>tst_param</t>
    </r>
    <r>
      <rPr>
        <sz val="14"/>
        <color rgb="FF208FFB"/>
        <rFont val="Courier New"/>
        <family val="1"/>
      </rPr>
      <t>()</t>
    </r>
  </si>
  <si>
    <r>
      <t xml:space="preserve">      4 </t>
    </r>
    <r>
      <rPr>
        <sz val="14"/>
        <color rgb="FFE75C58"/>
        <rFont val="Courier New"/>
        <family val="1"/>
      </rPr>
      <t xml:space="preserve">    </t>
    </r>
    <r>
      <rPr>
        <sz val="14"/>
        <color rgb="FF000000"/>
        <rFont val="Courier New"/>
        <family val="1"/>
      </rPr>
      <t xml:space="preserve">res </t>
    </r>
    <r>
      <rPr>
        <sz val="14"/>
        <color rgb="FF208FFB"/>
        <rFont val="Courier New"/>
        <family val="1"/>
      </rPr>
      <t>=</t>
    </r>
    <r>
      <rPr>
        <sz val="14"/>
        <color rgb="FF000000"/>
        <rFont val="Courier New"/>
        <family val="1"/>
      </rPr>
      <t xml:space="preserve"> tensor</t>
    </r>
    <r>
      <rPr>
        <sz val="14"/>
        <color rgb="FF208FFB"/>
        <rFont val="Courier New"/>
        <family val="1"/>
      </rPr>
      <t>([</t>
    </r>
    <r>
      <rPr>
        <sz val="14"/>
        <color rgb="FF000000"/>
        <rFont val="Courier New"/>
        <family val="1"/>
      </rPr>
      <t>val</t>
    </r>
    <r>
      <rPr>
        <sz val="14"/>
        <color rgb="FF208FFB"/>
        <rFont val="Courier New"/>
        <family val="1"/>
      </rPr>
      <t>]).</t>
    </r>
    <r>
      <rPr>
        <sz val="14"/>
        <color rgb="FF000000"/>
        <rFont val="Courier New"/>
        <family val="1"/>
      </rPr>
      <t>float</t>
    </r>
    <r>
      <rPr>
        <sz val="14"/>
        <color rgb="FF208FFB"/>
        <rFont val="Courier New"/>
        <family val="1"/>
      </rPr>
      <t>()</t>
    </r>
  </si>
  <si>
    <r>
      <t xml:space="preserve">----&gt; 5 </t>
    </r>
    <r>
      <rPr>
        <sz val="14"/>
        <color rgb="FFE75C58"/>
        <rFont val="Courier New"/>
        <family val="1"/>
      </rPr>
      <t xml:space="preserve">    </t>
    </r>
    <r>
      <rPr>
        <sz val="14"/>
        <color rgb="FF000000"/>
        <rFont val="Courier New"/>
        <family val="1"/>
      </rPr>
      <t>res</t>
    </r>
    <r>
      <rPr>
        <sz val="14"/>
        <color rgb="FF208FFB"/>
        <rFont val="Courier New"/>
        <family val="1"/>
      </rPr>
      <t>.</t>
    </r>
    <r>
      <rPr>
        <sz val="14"/>
        <color rgb="FF000000"/>
        <rFont val="Courier New"/>
        <family val="1"/>
      </rPr>
      <t xml:space="preserve">grad </t>
    </r>
    <r>
      <rPr>
        <sz val="14"/>
        <color rgb="FF208FFB"/>
        <rFont val="Courier New"/>
        <family val="1"/>
      </rPr>
      <t>=</t>
    </r>
    <r>
      <rPr>
        <sz val="14"/>
        <color rgb="FF000000"/>
        <rFont val="Courier New"/>
        <family val="1"/>
      </rPr>
      <t xml:space="preserve"> tensor</t>
    </r>
    <r>
      <rPr>
        <sz val="14"/>
        <color rgb="FF208FFB"/>
        <rFont val="Courier New"/>
        <family val="1"/>
      </rPr>
      <t>([</t>
    </r>
    <r>
      <rPr>
        <sz val="14"/>
        <color rgb="FF000000"/>
        <rFont val="Courier New"/>
        <family val="1"/>
      </rPr>
      <t>val</t>
    </r>
    <r>
      <rPr>
        <sz val="14"/>
        <color rgb="FF208FFB"/>
        <rFont val="Courier New"/>
        <family val="1"/>
      </rPr>
      <t>/</t>
    </r>
    <r>
      <rPr>
        <sz val="14"/>
        <color rgb="FF60C6C8"/>
        <rFont val="Courier New"/>
        <family val="1"/>
      </rPr>
      <t>10</t>
    </r>
    <r>
      <rPr>
        <sz val="14"/>
        <color rgb="FF000000"/>
        <rFont val="Courier New"/>
        <family val="1"/>
      </rPr>
      <t xml:space="preserve"> </t>
    </r>
    <r>
      <rPr>
        <sz val="14"/>
        <color rgb="FF00A250"/>
        <rFont val="Courier New"/>
        <family val="1"/>
      </rPr>
      <t>if</t>
    </r>
    <r>
      <rPr>
        <sz val="14"/>
        <color rgb="FF000000"/>
        <rFont val="Courier New"/>
        <family val="1"/>
      </rPr>
      <t xml:space="preserve"> grad </t>
    </r>
    <r>
      <rPr>
        <sz val="14"/>
        <color rgb="FF00A250"/>
        <rFont val="Courier New"/>
        <family val="1"/>
      </rPr>
      <t>is</t>
    </r>
    <r>
      <rPr>
        <sz val="14"/>
        <color rgb="FF000000"/>
        <rFont val="Courier New"/>
        <family val="1"/>
      </rPr>
      <t xml:space="preserve"> </t>
    </r>
    <r>
      <rPr>
        <sz val="14"/>
        <color rgb="FF00A250"/>
        <rFont val="Courier New"/>
        <family val="1"/>
      </rPr>
      <t>None</t>
    </r>
    <r>
      <rPr>
        <sz val="14"/>
        <color rgb="FF000000"/>
        <rFont val="Courier New"/>
        <family val="1"/>
      </rPr>
      <t xml:space="preserve"> </t>
    </r>
    <r>
      <rPr>
        <sz val="14"/>
        <color rgb="FF00A250"/>
        <rFont val="Courier New"/>
        <family val="1"/>
      </rPr>
      <t>else</t>
    </r>
    <r>
      <rPr>
        <sz val="14"/>
        <color rgb="FF000000"/>
        <rFont val="Courier New"/>
        <family val="1"/>
      </rPr>
      <t xml:space="preserve"> grad</t>
    </r>
    <r>
      <rPr>
        <sz val="14"/>
        <color rgb="FF208FFB"/>
        <rFont val="Courier New"/>
        <family val="1"/>
      </rPr>
      <t>]).</t>
    </r>
    <r>
      <rPr>
        <sz val="14"/>
        <color rgb="FF000000"/>
        <rFont val="Courier New"/>
        <family val="1"/>
      </rPr>
      <t>float</t>
    </r>
    <r>
      <rPr>
        <sz val="14"/>
        <color rgb="FF208FFB"/>
        <rFont val="Courier New"/>
        <family val="1"/>
      </rPr>
      <t>()</t>
    </r>
  </si>
  <si>
    <t>&lt;function save_history at 0x13afab670&gt;</t>
  </si>
  <si>
    <r>
      <t xml:space="preserve">&gt; </t>
    </r>
    <r>
      <rPr>
        <sz val="14"/>
        <color rgb="FF00A250"/>
        <rFont val="Courier New"/>
        <family val="1"/>
      </rPr>
      <t>/var/folders/gz/ch3n2mp51m9386sytqf97s6w0000gn/T/ipykernel_45132/2338072227.py</t>
    </r>
    <r>
      <rPr>
        <sz val="14"/>
        <color rgb="FF000000"/>
        <rFont val="Courier New"/>
        <family val="1"/>
      </rPr>
      <t>(4)</t>
    </r>
    <r>
      <rPr>
        <sz val="14"/>
        <color rgb="FF60C6C8"/>
        <rFont val="Courier New"/>
        <family val="1"/>
      </rPr>
      <t>average_grad</t>
    </r>
    <r>
      <rPr>
        <sz val="14"/>
        <color rgb="FF208FFB"/>
        <rFont val="Courier New"/>
        <family val="1"/>
      </rPr>
      <t>()</t>
    </r>
  </si>
  <si>
    <r>
      <t xml:space="preserve">      2 </t>
    </r>
    <r>
      <rPr>
        <sz val="14"/>
        <color rgb="FFE75C58"/>
        <rFont val="Courier New"/>
        <family val="1"/>
      </rPr>
      <t xml:space="preserve">    </t>
    </r>
    <r>
      <rPr>
        <sz val="14"/>
        <color rgb="FF208FFB"/>
        <rFont val="Courier New"/>
        <family val="1"/>
      </rPr>
      <t>"Keeps track of the avg grads of `p` in `state` with `mom`."</t>
    </r>
  </si>
  <si>
    <r>
      <t xml:space="preserve">----&gt; 4 </t>
    </r>
    <r>
      <rPr>
        <sz val="14"/>
        <color rgb="FFE75C58"/>
        <rFont val="Courier New"/>
        <family val="1"/>
      </rPr>
      <t xml:space="preserve">    </t>
    </r>
    <r>
      <rPr>
        <sz val="14"/>
        <color rgb="FF00A250"/>
        <rFont val="Courier New"/>
        <family val="1"/>
      </rPr>
      <t>if</t>
    </r>
    <r>
      <rPr>
        <sz val="14"/>
        <color rgb="FF000000"/>
        <rFont val="Courier New"/>
        <family val="1"/>
      </rPr>
      <t xml:space="preserve"> grad_avg </t>
    </r>
    <r>
      <rPr>
        <sz val="14"/>
        <color rgb="FF00A250"/>
        <rFont val="Courier New"/>
        <family val="1"/>
      </rPr>
      <t>is</t>
    </r>
    <r>
      <rPr>
        <sz val="14"/>
        <color rgb="FF000000"/>
        <rFont val="Courier New"/>
        <family val="1"/>
      </rPr>
      <t xml:space="preserve"> </t>
    </r>
    <r>
      <rPr>
        <sz val="14"/>
        <color rgb="FF00A250"/>
        <rFont val="Courier New"/>
        <family val="1"/>
      </rPr>
      <t>None</t>
    </r>
    <r>
      <rPr>
        <sz val="14"/>
        <color rgb="FF208FFB"/>
        <rFont val="Courier New"/>
        <family val="1"/>
      </rPr>
      <t>:</t>
    </r>
    <r>
      <rPr>
        <sz val="14"/>
        <color rgb="FF000000"/>
        <rFont val="Courier New"/>
        <family val="1"/>
      </rPr>
      <t xml:space="preserve"> grad_avg </t>
    </r>
    <r>
      <rPr>
        <sz val="14"/>
        <color rgb="FF208FFB"/>
        <rFont val="Courier New"/>
        <family val="1"/>
      </rPr>
      <t>=</t>
    </r>
    <r>
      <rPr>
        <sz val="14"/>
        <color rgb="FF000000"/>
        <rFont val="Courier New"/>
        <family val="1"/>
      </rPr>
      <t xml:space="preserve"> torch</t>
    </r>
    <r>
      <rPr>
        <sz val="14"/>
        <color rgb="FF208FFB"/>
        <rFont val="Courier New"/>
        <family val="1"/>
      </rPr>
      <t>.</t>
    </r>
    <r>
      <rPr>
        <sz val="14"/>
        <color rgb="FF000000"/>
        <rFont val="Courier New"/>
        <family val="1"/>
      </rPr>
      <t>zeros_like</t>
    </r>
    <r>
      <rPr>
        <sz val="14"/>
        <color rgb="FF208FFB"/>
        <rFont val="Courier New"/>
        <family val="1"/>
      </rPr>
      <t>(</t>
    </r>
    <r>
      <rPr>
        <sz val="14"/>
        <color rgb="FF000000"/>
        <rFont val="Courier New"/>
        <family val="1"/>
      </rPr>
      <t>p</t>
    </r>
    <r>
      <rPr>
        <sz val="14"/>
        <color rgb="FF208FFB"/>
        <rFont val="Courier New"/>
        <family val="1"/>
      </rPr>
      <t>.</t>
    </r>
    <r>
      <rPr>
        <sz val="14"/>
        <color rgb="FF000000"/>
        <rFont val="Courier New"/>
        <family val="1"/>
      </rPr>
      <t>grad</t>
    </r>
    <r>
      <rPr>
        <sz val="14"/>
        <color rgb="FF208FFB"/>
        <rFont val="Courier New"/>
        <family val="1"/>
      </rPr>
      <t>.</t>
    </r>
    <r>
      <rPr>
        <sz val="14"/>
        <color rgb="FF000000"/>
        <rFont val="Courier New"/>
        <family val="1"/>
      </rPr>
      <t>data</t>
    </r>
    <r>
      <rPr>
        <sz val="14"/>
        <color rgb="FF208FFB"/>
        <rFont val="Courier New"/>
        <family val="1"/>
      </rPr>
      <t>)</t>
    </r>
  </si>
  <si>
    <r>
      <t xml:space="preserve">      5 </t>
    </r>
    <r>
      <rPr>
        <sz val="14"/>
        <color rgb="FFE75C58"/>
        <rFont val="Courier New"/>
        <family val="1"/>
      </rPr>
      <t xml:space="preserve">    </t>
    </r>
    <r>
      <rPr>
        <sz val="14"/>
        <color rgb="FF000000"/>
        <rFont val="Courier New"/>
        <family val="1"/>
      </rPr>
      <t xml:space="preserve">damp </t>
    </r>
    <r>
      <rPr>
        <sz val="14"/>
        <color rgb="FF208FFB"/>
        <rFont val="Courier New"/>
        <family val="1"/>
      </rPr>
      <t>=</t>
    </r>
    <r>
      <rPr>
        <sz val="14"/>
        <color rgb="FF000000"/>
        <rFont val="Courier New"/>
        <family val="1"/>
      </rPr>
      <t xml:space="preserve"> </t>
    </r>
    <r>
      <rPr>
        <sz val="14"/>
        <color rgb="FF60C6C8"/>
        <rFont val="Courier New"/>
        <family val="1"/>
      </rPr>
      <t>1</t>
    </r>
    <r>
      <rPr>
        <sz val="14"/>
        <color rgb="FF208FFB"/>
        <rFont val="Courier New"/>
        <family val="1"/>
      </rPr>
      <t>-</t>
    </r>
    <r>
      <rPr>
        <sz val="14"/>
        <color rgb="FF000000"/>
        <rFont val="Courier New"/>
        <family val="1"/>
      </rPr>
      <t xml:space="preserve">mom </t>
    </r>
    <r>
      <rPr>
        <sz val="14"/>
        <color rgb="FF00A250"/>
        <rFont val="Courier New"/>
        <family val="1"/>
      </rPr>
      <t>if</t>
    </r>
    <r>
      <rPr>
        <sz val="14"/>
        <color rgb="FF000000"/>
        <rFont val="Courier New"/>
        <family val="1"/>
      </rPr>
      <t xml:space="preserve"> dampening </t>
    </r>
    <r>
      <rPr>
        <sz val="14"/>
        <color rgb="FF00A250"/>
        <rFont val="Courier New"/>
        <family val="1"/>
      </rPr>
      <t>else</t>
    </r>
    <r>
      <rPr>
        <sz val="14"/>
        <color rgb="FF000000"/>
        <rFont val="Courier New"/>
        <family val="1"/>
      </rPr>
      <t xml:space="preserve"> </t>
    </r>
    <r>
      <rPr>
        <sz val="14"/>
        <color rgb="FF60C6C8"/>
        <rFont val="Courier New"/>
        <family val="1"/>
      </rPr>
      <t>1.</t>
    </r>
  </si>
  <si>
    <r>
      <t xml:space="preserve">      6 </t>
    </r>
    <r>
      <rPr>
        <sz val="14"/>
        <color rgb="FFE75C58"/>
        <rFont val="Courier New"/>
        <family val="1"/>
      </rPr>
      <t xml:space="preserve">    </t>
    </r>
    <r>
      <rPr>
        <sz val="14"/>
        <color rgb="FF000000"/>
        <rFont val="Courier New"/>
        <family val="1"/>
      </rPr>
      <t>grad_avg</t>
    </r>
    <r>
      <rPr>
        <sz val="14"/>
        <color rgb="FF208FFB"/>
        <rFont val="Courier New"/>
        <family val="1"/>
      </rPr>
      <t>.</t>
    </r>
    <r>
      <rPr>
        <sz val="14"/>
        <color rgb="FF000000"/>
        <rFont val="Courier New"/>
        <family val="1"/>
      </rPr>
      <t>mul_</t>
    </r>
    <r>
      <rPr>
        <sz val="14"/>
        <color rgb="FF208FFB"/>
        <rFont val="Courier New"/>
        <family val="1"/>
      </rPr>
      <t>(</t>
    </r>
    <r>
      <rPr>
        <sz val="14"/>
        <color rgb="FF000000"/>
        <rFont val="Courier New"/>
        <family val="1"/>
      </rPr>
      <t>mom</t>
    </r>
    <r>
      <rPr>
        <sz val="14"/>
        <color rgb="FF208FFB"/>
        <rFont val="Courier New"/>
        <family val="1"/>
      </rPr>
      <t>).</t>
    </r>
    <r>
      <rPr>
        <sz val="14"/>
        <color rgb="FF000000"/>
        <rFont val="Courier New"/>
        <family val="1"/>
      </rPr>
      <t>add_</t>
    </r>
    <r>
      <rPr>
        <sz val="14"/>
        <color rgb="FF208FFB"/>
        <rFont val="Courier New"/>
        <family val="1"/>
      </rPr>
      <t>(</t>
    </r>
    <r>
      <rPr>
        <sz val="14"/>
        <color rgb="FF000000"/>
        <rFont val="Courier New"/>
        <family val="1"/>
      </rPr>
      <t>p</t>
    </r>
    <r>
      <rPr>
        <sz val="14"/>
        <color rgb="FF208FFB"/>
        <rFont val="Courier New"/>
        <family val="1"/>
      </rPr>
      <t>.</t>
    </r>
    <r>
      <rPr>
        <sz val="14"/>
        <color rgb="FF000000"/>
        <rFont val="Courier New"/>
        <family val="1"/>
      </rPr>
      <t>grad</t>
    </r>
    <r>
      <rPr>
        <sz val="14"/>
        <color rgb="FF208FFB"/>
        <rFont val="Courier New"/>
        <family val="1"/>
      </rPr>
      <t>.</t>
    </r>
    <r>
      <rPr>
        <sz val="14"/>
        <color rgb="FF000000"/>
        <rFont val="Courier New"/>
        <family val="1"/>
      </rPr>
      <t>data</t>
    </r>
    <r>
      <rPr>
        <sz val="14"/>
        <color rgb="FF208FFB"/>
        <rFont val="Courier New"/>
        <family val="1"/>
      </rPr>
      <t>,</t>
    </r>
    <r>
      <rPr>
        <sz val="14"/>
        <color rgb="FF000000"/>
        <rFont val="Courier New"/>
        <family val="1"/>
      </rPr>
      <t xml:space="preserve"> alpha</t>
    </r>
    <r>
      <rPr>
        <sz val="14"/>
        <color rgb="FF208FFB"/>
        <rFont val="Courier New"/>
        <family val="1"/>
      </rPr>
      <t>=</t>
    </r>
    <r>
      <rPr>
        <sz val="14"/>
        <color rgb="FF000000"/>
        <rFont val="Courier New"/>
        <family val="1"/>
      </rPr>
      <t>damp</t>
    </r>
    <r>
      <rPr>
        <sz val="14"/>
        <color rgb="FF208FFB"/>
        <rFont val="Courier New"/>
        <family val="1"/>
      </rPr>
      <t>)</t>
    </r>
  </si>
  <si>
    <r>
      <t xml:space="preserve">&gt; </t>
    </r>
    <r>
      <rPr>
        <sz val="14"/>
        <color rgb="FF00A250"/>
        <rFont val="Courier New"/>
        <family val="1"/>
      </rPr>
      <t>/var/folders/gz/ch3n2mp51m9386sytqf97s6w0000gn/T/ipykernel_45132/2338072227.py</t>
    </r>
    <r>
      <rPr>
        <sz val="14"/>
        <color rgb="FF000000"/>
        <rFont val="Courier New"/>
        <family val="1"/>
      </rPr>
      <t>(5)</t>
    </r>
    <r>
      <rPr>
        <sz val="14"/>
        <color rgb="FF60C6C8"/>
        <rFont val="Courier New"/>
        <family val="1"/>
      </rPr>
      <t>average_grad</t>
    </r>
    <r>
      <rPr>
        <sz val="14"/>
        <color rgb="FF208FFB"/>
        <rFont val="Courier New"/>
        <family val="1"/>
      </rPr>
      <t>()</t>
    </r>
  </si>
  <si>
    <r>
      <t xml:space="preserve">      4 </t>
    </r>
    <r>
      <rPr>
        <sz val="14"/>
        <color rgb="FFE75C58"/>
        <rFont val="Courier New"/>
        <family val="1"/>
      </rPr>
      <t xml:space="preserve">    </t>
    </r>
    <r>
      <rPr>
        <sz val="14"/>
        <color rgb="FF00A250"/>
        <rFont val="Courier New"/>
        <family val="1"/>
      </rPr>
      <t>if</t>
    </r>
    <r>
      <rPr>
        <sz val="14"/>
        <color rgb="FF000000"/>
        <rFont val="Courier New"/>
        <family val="1"/>
      </rPr>
      <t xml:space="preserve"> grad_avg </t>
    </r>
    <r>
      <rPr>
        <sz val="14"/>
        <color rgb="FF00A250"/>
        <rFont val="Courier New"/>
        <family val="1"/>
      </rPr>
      <t>is</t>
    </r>
    <r>
      <rPr>
        <sz val="14"/>
        <color rgb="FF000000"/>
        <rFont val="Courier New"/>
        <family val="1"/>
      </rPr>
      <t xml:space="preserve"> </t>
    </r>
    <r>
      <rPr>
        <sz val="14"/>
        <color rgb="FF00A250"/>
        <rFont val="Courier New"/>
        <family val="1"/>
      </rPr>
      <t>None</t>
    </r>
    <r>
      <rPr>
        <sz val="14"/>
        <color rgb="FF208FFB"/>
        <rFont val="Courier New"/>
        <family val="1"/>
      </rPr>
      <t>:</t>
    </r>
    <r>
      <rPr>
        <sz val="14"/>
        <color rgb="FF000000"/>
        <rFont val="Courier New"/>
        <family val="1"/>
      </rPr>
      <t xml:space="preserve"> grad_avg </t>
    </r>
    <r>
      <rPr>
        <sz val="14"/>
        <color rgb="FF208FFB"/>
        <rFont val="Courier New"/>
        <family val="1"/>
      </rPr>
      <t>=</t>
    </r>
    <r>
      <rPr>
        <sz val="14"/>
        <color rgb="FF000000"/>
        <rFont val="Courier New"/>
        <family val="1"/>
      </rPr>
      <t xml:space="preserve"> torch</t>
    </r>
    <r>
      <rPr>
        <sz val="14"/>
        <color rgb="FF208FFB"/>
        <rFont val="Courier New"/>
        <family val="1"/>
      </rPr>
      <t>.</t>
    </r>
    <r>
      <rPr>
        <sz val="14"/>
        <color rgb="FF000000"/>
        <rFont val="Courier New"/>
        <family val="1"/>
      </rPr>
      <t>zeros_like</t>
    </r>
    <r>
      <rPr>
        <sz val="14"/>
        <color rgb="FF208FFB"/>
        <rFont val="Courier New"/>
        <family val="1"/>
      </rPr>
      <t>(</t>
    </r>
    <r>
      <rPr>
        <sz val="14"/>
        <color rgb="FF000000"/>
        <rFont val="Courier New"/>
        <family val="1"/>
      </rPr>
      <t>p</t>
    </r>
    <r>
      <rPr>
        <sz val="14"/>
        <color rgb="FF208FFB"/>
        <rFont val="Courier New"/>
        <family val="1"/>
      </rPr>
      <t>.</t>
    </r>
    <r>
      <rPr>
        <sz val="14"/>
        <color rgb="FF000000"/>
        <rFont val="Courier New"/>
        <family val="1"/>
      </rPr>
      <t>grad</t>
    </r>
    <r>
      <rPr>
        <sz val="14"/>
        <color rgb="FF208FFB"/>
        <rFont val="Courier New"/>
        <family val="1"/>
      </rPr>
      <t>.</t>
    </r>
    <r>
      <rPr>
        <sz val="14"/>
        <color rgb="FF000000"/>
        <rFont val="Courier New"/>
        <family val="1"/>
      </rPr>
      <t>data</t>
    </r>
    <r>
      <rPr>
        <sz val="14"/>
        <color rgb="FF208FFB"/>
        <rFont val="Courier New"/>
        <family val="1"/>
      </rPr>
      <t>)</t>
    </r>
  </si>
  <si>
    <r>
      <t xml:space="preserve">----&gt; 5 </t>
    </r>
    <r>
      <rPr>
        <sz val="14"/>
        <color rgb="FFE75C58"/>
        <rFont val="Courier New"/>
        <family val="1"/>
      </rPr>
      <t xml:space="preserve">    </t>
    </r>
    <r>
      <rPr>
        <sz val="14"/>
        <color rgb="FF000000"/>
        <rFont val="Courier New"/>
        <family val="1"/>
      </rPr>
      <t xml:space="preserve">damp </t>
    </r>
    <r>
      <rPr>
        <sz val="14"/>
        <color rgb="FF208FFB"/>
        <rFont val="Courier New"/>
        <family val="1"/>
      </rPr>
      <t>=</t>
    </r>
    <r>
      <rPr>
        <sz val="14"/>
        <color rgb="FF000000"/>
        <rFont val="Courier New"/>
        <family val="1"/>
      </rPr>
      <t xml:space="preserve"> </t>
    </r>
    <r>
      <rPr>
        <sz val="14"/>
        <color rgb="FF60C6C8"/>
        <rFont val="Courier New"/>
        <family val="1"/>
      </rPr>
      <t>1</t>
    </r>
    <r>
      <rPr>
        <sz val="14"/>
        <color rgb="FF208FFB"/>
        <rFont val="Courier New"/>
        <family val="1"/>
      </rPr>
      <t>-</t>
    </r>
    <r>
      <rPr>
        <sz val="14"/>
        <color rgb="FF000000"/>
        <rFont val="Courier New"/>
        <family val="1"/>
      </rPr>
      <t xml:space="preserve">mom </t>
    </r>
    <r>
      <rPr>
        <sz val="14"/>
        <color rgb="FF00A250"/>
        <rFont val="Courier New"/>
        <family val="1"/>
      </rPr>
      <t>if</t>
    </r>
    <r>
      <rPr>
        <sz val="14"/>
        <color rgb="FF000000"/>
        <rFont val="Courier New"/>
        <family val="1"/>
      </rPr>
      <t xml:space="preserve"> dampening </t>
    </r>
    <r>
      <rPr>
        <sz val="14"/>
        <color rgb="FF00A250"/>
        <rFont val="Courier New"/>
        <family val="1"/>
      </rPr>
      <t>else</t>
    </r>
    <r>
      <rPr>
        <sz val="14"/>
        <color rgb="FF000000"/>
        <rFont val="Courier New"/>
        <family val="1"/>
      </rPr>
      <t xml:space="preserve"> </t>
    </r>
    <r>
      <rPr>
        <sz val="14"/>
        <color rgb="FF60C6C8"/>
        <rFont val="Courier New"/>
        <family val="1"/>
      </rPr>
      <t>1.</t>
    </r>
  </si>
  <si>
    <r>
      <t xml:space="preserve">      7 </t>
    </r>
    <r>
      <rPr>
        <sz val="14"/>
        <color rgb="FFE75C58"/>
        <rFont val="Courier New"/>
        <family val="1"/>
      </rPr>
      <t xml:space="preserve">    </t>
    </r>
    <r>
      <rPr>
        <sz val="14"/>
        <color rgb="FF00A250"/>
        <rFont val="Courier New"/>
        <family val="1"/>
      </rPr>
      <t>return</t>
    </r>
    <r>
      <rPr>
        <sz val="14"/>
        <color rgb="FF000000"/>
        <rFont val="Courier New"/>
        <family val="1"/>
      </rPr>
      <t xml:space="preserve"> </t>
    </r>
    <r>
      <rPr>
        <sz val="14"/>
        <color rgb="FF208FFB"/>
        <rFont val="Courier New"/>
        <family val="1"/>
      </rPr>
      <t>{'grad_avg':</t>
    </r>
    <r>
      <rPr>
        <sz val="14"/>
        <color rgb="FF000000"/>
        <rFont val="Courier New"/>
        <family val="1"/>
      </rPr>
      <t xml:space="preserve"> grad_avg</t>
    </r>
    <r>
      <rPr>
        <sz val="14"/>
        <color rgb="FF208FFB"/>
        <rFont val="Courier New"/>
        <family val="1"/>
      </rPr>
      <t>}</t>
    </r>
  </si>
  <si>
    <t>grad_avg = tensor([[0., 0., 0.]])</t>
  </si>
  <si>
    <t>ipdb&gt; pp "damp must be 1. here"</t>
  </si>
  <si>
    <t>'damp must be 1. here'</t>
  </si>
  <si>
    <r>
      <t xml:space="preserve">&gt; </t>
    </r>
    <r>
      <rPr>
        <sz val="14"/>
        <color rgb="FF00A250"/>
        <rFont val="Courier New"/>
        <family val="1"/>
      </rPr>
      <t>/var/folders/gz/ch3n2mp51m9386sytqf97s6w0000gn/T/ipykernel_45132/2338072227.py</t>
    </r>
    <r>
      <rPr>
        <sz val="14"/>
        <color rgb="FF000000"/>
        <rFont val="Courier New"/>
        <family val="1"/>
      </rPr>
      <t>(6)</t>
    </r>
    <r>
      <rPr>
        <sz val="14"/>
        <color rgb="FF60C6C8"/>
        <rFont val="Courier New"/>
        <family val="1"/>
      </rPr>
      <t>average_grad</t>
    </r>
    <r>
      <rPr>
        <sz val="14"/>
        <color rgb="FF208FFB"/>
        <rFont val="Courier New"/>
        <family val="1"/>
      </rPr>
      <t>()</t>
    </r>
  </si>
  <si>
    <r>
      <t xml:space="preserve">----&gt; 6 </t>
    </r>
    <r>
      <rPr>
        <sz val="14"/>
        <color rgb="FFE75C58"/>
        <rFont val="Courier New"/>
        <family val="1"/>
      </rPr>
      <t xml:space="preserve">    </t>
    </r>
    <r>
      <rPr>
        <sz val="14"/>
        <color rgb="FF000000"/>
        <rFont val="Courier New"/>
        <family val="1"/>
      </rPr>
      <t>grad_avg</t>
    </r>
    <r>
      <rPr>
        <sz val="14"/>
        <color rgb="FF208FFB"/>
        <rFont val="Courier New"/>
        <family val="1"/>
      </rPr>
      <t>.</t>
    </r>
    <r>
      <rPr>
        <sz val="14"/>
        <color rgb="FF000000"/>
        <rFont val="Courier New"/>
        <family val="1"/>
      </rPr>
      <t>mul_</t>
    </r>
    <r>
      <rPr>
        <sz val="14"/>
        <color rgb="FF208FFB"/>
        <rFont val="Courier New"/>
        <family val="1"/>
      </rPr>
      <t>(</t>
    </r>
    <r>
      <rPr>
        <sz val="14"/>
        <color rgb="FF000000"/>
        <rFont val="Courier New"/>
        <family val="1"/>
      </rPr>
      <t>mom</t>
    </r>
    <r>
      <rPr>
        <sz val="14"/>
        <color rgb="FF208FFB"/>
        <rFont val="Courier New"/>
        <family val="1"/>
      </rPr>
      <t>).</t>
    </r>
    <r>
      <rPr>
        <sz val="14"/>
        <color rgb="FF000000"/>
        <rFont val="Courier New"/>
        <family val="1"/>
      </rPr>
      <t>add_</t>
    </r>
    <r>
      <rPr>
        <sz val="14"/>
        <color rgb="FF208FFB"/>
        <rFont val="Courier New"/>
        <family val="1"/>
      </rPr>
      <t>(</t>
    </r>
    <r>
      <rPr>
        <sz val="14"/>
        <color rgb="FF000000"/>
        <rFont val="Courier New"/>
        <family val="1"/>
      </rPr>
      <t>p</t>
    </r>
    <r>
      <rPr>
        <sz val="14"/>
        <color rgb="FF208FFB"/>
        <rFont val="Courier New"/>
        <family val="1"/>
      </rPr>
      <t>.</t>
    </r>
    <r>
      <rPr>
        <sz val="14"/>
        <color rgb="FF000000"/>
        <rFont val="Courier New"/>
        <family val="1"/>
      </rPr>
      <t>grad</t>
    </r>
    <r>
      <rPr>
        <sz val="14"/>
        <color rgb="FF208FFB"/>
        <rFont val="Courier New"/>
        <family val="1"/>
      </rPr>
      <t>.</t>
    </r>
    <r>
      <rPr>
        <sz val="14"/>
        <color rgb="FF000000"/>
        <rFont val="Courier New"/>
        <family val="1"/>
      </rPr>
      <t>data</t>
    </r>
    <r>
      <rPr>
        <sz val="14"/>
        <color rgb="FF208FFB"/>
        <rFont val="Courier New"/>
        <family val="1"/>
      </rPr>
      <t>,</t>
    </r>
    <r>
      <rPr>
        <sz val="14"/>
        <color rgb="FF000000"/>
        <rFont val="Courier New"/>
        <family val="1"/>
      </rPr>
      <t xml:space="preserve"> alpha</t>
    </r>
    <r>
      <rPr>
        <sz val="14"/>
        <color rgb="FF208FFB"/>
        <rFont val="Courier New"/>
        <family val="1"/>
      </rPr>
      <t>=</t>
    </r>
    <r>
      <rPr>
        <sz val="14"/>
        <color rgb="FF000000"/>
        <rFont val="Courier New"/>
        <family val="1"/>
      </rPr>
      <t>damp</t>
    </r>
    <r>
      <rPr>
        <sz val="14"/>
        <color rgb="FF208FFB"/>
        <rFont val="Courier New"/>
        <family val="1"/>
      </rPr>
      <t>)</t>
    </r>
  </si>
  <si>
    <t>ipdb&gt; damp</t>
  </si>
  <si>
    <t>ipdb&gt; print("grad_val must be: ", grad_avg.mul(mom).add(p.grad.data, alpha=damp))</t>
  </si>
  <si>
    <t>grad_val must be:  tensor([[4., 5., 6.]])</t>
  </si>
  <si>
    <t>p</t>
  </si>
  <si>
    <t>Inputs or parameters</t>
  </si>
  <si>
    <t>LAMBDA(p.grad.data,mom,dampening,grad_avg,A97#)</t>
  </si>
  <si>
    <t>average_grad_1</t>
  </si>
  <si>
    <t>average_grad_2</t>
  </si>
  <si>
    <t>p.grad</t>
  </si>
  <si>
    <t>lambda</t>
  </si>
  <si>
    <t>average_grad_3</t>
  </si>
  <si>
    <t>average_grad_4</t>
  </si>
  <si>
    <t>Implementing tst_param</t>
  </si>
  <si>
    <t>Implementing average_grad</t>
  </si>
  <si>
    <t>Check State</t>
  </si>
  <si>
    <t>Make it real</t>
  </si>
  <si>
    <t>momentum_step</t>
  </si>
  <si>
    <t>named lambda</t>
  </si>
  <si>
    <t>lambda without a name</t>
  </si>
  <si>
    <t>average_grad</t>
  </si>
  <si>
    <t>None</t>
  </si>
  <si>
    <t>lr</t>
  </si>
  <si>
    <t xml:space="preserve">    p.data.add_(grad_avg, alpha=-lr)</t>
  </si>
  <si>
    <t xml:space="preserve">    "Step for SGD with momentum with `lr`"</t>
  </si>
  <si>
    <t>def momentum_step(p, lr, grad_avg, **kwargs):</t>
  </si>
  <si>
    <t>data</t>
  </si>
  <si>
    <t>wd</t>
  </si>
  <si>
    <t>p.grad.data</t>
  </si>
  <si>
    <t>p.data</t>
  </si>
  <si>
    <t>weight_decay reduce weights without gradients</t>
  </si>
  <si>
    <t>l2_reg reduce weights through gradients</t>
  </si>
  <si>
    <t>When gradients are 0, then weight_decay and l2_reg are the same</t>
  </si>
  <si>
    <t>weight_decay return weights</t>
  </si>
  <si>
    <t>l2_reg returns gradients</t>
  </si>
  <si>
    <t>update p without weight decay</t>
  </si>
  <si>
    <t>update p after weight_decay</t>
  </si>
  <si>
    <t>sgd_step</t>
  </si>
  <si>
    <t>[weight_decay, sgd_step]</t>
  </si>
  <si>
    <t>[l2_reg, sgd_step]</t>
  </si>
  <si>
    <t>update p after l2_reg</t>
  </si>
  <si>
    <t>[weight_decay, momentum_step]</t>
  </si>
  <si>
    <t>[l2_reg, momentum_step]</t>
  </si>
  <si>
    <t>p.grad by momentum</t>
  </si>
  <si>
    <t>p.grad by l2_reg then by momentum</t>
  </si>
  <si>
    <t>[momentum_step]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</si>
</sst>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0" formatCode="0.0000"/>
  </numFmts>
  <fonts count="10" x14ac:knownFonts="1">
    <font>
      <sz val="12"/>
      <color theme="1"/>
      <name val="Calibri"/>
      <family val="2"/>
      <scheme val="minor"/>
    </font>
    <font>
      <sz val="14"/>
      <color rgb="FF000000"/>
      <name val="Courier New"/>
      <family val="1"/>
    </font>
    <font>
      <sz val="14"/>
      <color rgb="FF00A250"/>
      <name val="Courier New"/>
      <family val="1"/>
    </font>
    <font>
      <sz val="14"/>
      <color rgb="FF60C6C8"/>
      <name val="Courier New"/>
      <family val="1"/>
    </font>
    <font>
      <sz val="14"/>
      <color rgb="FF208FFB"/>
      <name val="Courier New"/>
      <family val="1"/>
    </font>
    <font>
      <sz val="14"/>
      <color rgb="FFE75C58"/>
      <name val="Courier New"/>
      <family val="1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double">
        <color theme="9"/>
      </left>
      <right style="double">
        <color theme="9"/>
      </right>
      <top style="double">
        <color theme="9"/>
      </top>
      <bottom/>
      <diagonal/>
    </border>
    <border>
      <left style="double">
        <color theme="9"/>
      </left>
      <right style="double">
        <color theme="9"/>
      </right>
      <top/>
      <bottom/>
      <diagonal/>
    </border>
    <border>
      <left style="double">
        <color theme="9"/>
      </left>
      <right style="double">
        <color theme="9"/>
      </right>
      <top/>
      <bottom style="double">
        <color theme="9"/>
      </bottom>
      <diagonal/>
    </border>
    <border>
      <left style="thick">
        <color theme="5" tint="0.59996337778862885"/>
      </left>
      <right/>
      <top style="thick">
        <color theme="5" tint="0.59996337778862885"/>
      </top>
      <bottom/>
      <diagonal/>
    </border>
    <border>
      <left/>
      <right/>
      <top style="thick">
        <color theme="5" tint="0.59996337778862885"/>
      </top>
      <bottom/>
      <diagonal/>
    </border>
    <border>
      <left/>
      <right style="thick">
        <color theme="5" tint="0.59996337778862885"/>
      </right>
      <top style="thick">
        <color theme="5" tint="0.59996337778862885"/>
      </top>
      <bottom/>
      <diagonal/>
    </border>
    <border>
      <left style="thick">
        <color theme="5" tint="0.59996337778862885"/>
      </left>
      <right/>
      <top/>
      <bottom/>
      <diagonal/>
    </border>
    <border>
      <left/>
      <right style="thick">
        <color theme="5" tint="0.59996337778862885"/>
      </right>
      <top/>
      <bottom/>
      <diagonal/>
    </border>
    <border>
      <left style="thick">
        <color theme="5" tint="0.59996337778862885"/>
      </left>
      <right/>
      <top/>
      <bottom style="thick">
        <color theme="5" tint="0.59996337778862885"/>
      </bottom>
      <diagonal/>
    </border>
    <border>
      <left/>
      <right/>
      <top/>
      <bottom style="thick">
        <color theme="5" tint="0.59996337778862885"/>
      </bottom>
      <diagonal/>
    </border>
    <border>
      <left/>
      <right style="thick">
        <color theme="5" tint="0.59996337778862885"/>
      </right>
      <top/>
      <bottom style="thick">
        <color theme="5" tint="0.59996337778862885"/>
      </bottom>
      <diagonal/>
    </border>
  </borders>
  <cellStyleXfs count="1">
    <xf numFmtId="0" fontId="0" fillId="0" borderId="0"/>
  </cellStyleXfs>
  <cellXfs count="26">
    <xf numFmtId="0" fontId="0" fillId="0" borderId="0" xfId="0"/>
    <xf numFmtId="2" fontId="0" fillId="0" borderId="0" xfId="0" applyNumberFormat="1"/>
    <xf numFmtId="0" fontId="0" fillId="0" borderId="0" xfId="0" applyBorder="1"/>
    <xf numFmtId="0" fontId="0" fillId="2" borderId="1" xfId="0" applyFill="1" applyBorder="1"/>
    <xf numFmtId="0" fontId="0" fillId="2" borderId="2" xfId="0" applyFill="1" applyBorder="1"/>
    <xf numFmtId="0" fontId="1" fillId="2" borderId="2" xfId="0" applyFont="1" applyFill="1" applyBorder="1"/>
    <xf numFmtId="0" fontId="2" fillId="2" borderId="2" xfId="0" applyFont="1" applyFill="1" applyBorder="1"/>
    <xf numFmtId="0" fontId="0" fillId="2" borderId="3" xfId="0" applyFill="1" applyBorder="1"/>
    <xf numFmtId="0" fontId="0" fillId="3" borderId="0" xfId="0" applyFill="1"/>
    <xf numFmtId="2" fontId="0" fillId="0" borderId="0" xfId="0" applyNumberFormat="1" applyBorder="1"/>
    <xf numFmtId="0" fontId="0" fillId="4" borderId="0" xfId="0" applyFill="1"/>
    <xf numFmtId="0" fontId="0" fillId="0" borderId="4" xfId="0" applyBorder="1"/>
    <xf numFmtId="0" fontId="0" fillId="0" borderId="5" xfId="0" applyBorder="1"/>
    <xf numFmtId="0" fontId="0" fillId="0" borderId="6" xfId="0" applyBorder="1"/>
    <xf numFmtId="2" fontId="0" fillId="0" borderId="7" xfId="0" applyNumberFormat="1" applyBorder="1"/>
    <xf numFmtId="0" fontId="0" fillId="0" borderId="8" xfId="0" applyBorder="1"/>
    <xf numFmtId="0" fontId="0" fillId="0" borderId="7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0" xfId="0" applyFill="1" applyBorder="1"/>
    <xf numFmtId="2" fontId="8" fillId="0" borderId="0" xfId="0" applyNumberFormat="1" applyFont="1"/>
    <xf numFmtId="2" fontId="0" fillId="0" borderId="8" xfId="0" applyNumberFormat="1" applyBorder="1"/>
    <xf numFmtId="0" fontId="6" fillId="0" borderId="0" xfId="0" applyFont="1" applyAlignment="1">
      <alignment horizontal="left" vertical="center" readingOrder="1"/>
    </xf>
    <xf numFmtId="170" fontId="0" fillId="0" borderId="0" xfId="0" applyNumberFormat="1"/>
    <xf numFmtId="170" fontId="8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weight_decay</a:t>
            </a:r>
            <a:r>
              <a:rPr lang="en-US" baseline="0"/>
              <a:t> and l2_reg under sgd_step are the same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N"/>
        </a:p>
      </c:txPr>
    </c:title>
    <c:autoTitleDeleted val="0"/>
    <c:plotArea>
      <c:layout>
        <c:manualLayout>
          <c:layoutTarget val="inner"/>
          <c:xMode val="edge"/>
          <c:yMode val="edge"/>
          <c:x val="9.0694111605614511E-2"/>
          <c:y val="0.11225420592917687"/>
          <c:w val="0.87269257103731601"/>
          <c:h val="0.80613312680177274"/>
        </c:manualLayout>
      </c:layout>
      <c:lineChart>
        <c:grouping val="standard"/>
        <c:varyColors val="0"/>
        <c:ser>
          <c:idx val="0"/>
          <c:order val="0"/>
          <c:tx>
            <c:strRef>
              <c:f>'weight_decay vs l2_reg'!$D$3</c:f>
              <c:strCache>
                <c:ptCount val="1"/>
                <c:pt idx="0">
                  <c:v>sgd_step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'weight_decay vs l2_reg'!$A$5:$A$33</c:f>
              <c:numCache>
                <c:formatCode>0.0000</c:formatCode>
                <c:ptCount val="29"/>
                <c:pt idx="0">
                  <c:v>0.1</c:v>
                </c:pt>
                <c:pt idx="1">
                  <c:v>0.3</c:v>
                </c:pt>
                <c:pt idx="2">
                  <c:v>0.5</c:v>
                </c:pt>
                <c:pt idx="3">
                  <c:v>0.7</c:v>
                </c:pt>
                <c:pt idx="4">
                  <c:v>0.9</c:v>
                </c:pt>
                <c:pt idx="5">
                  <c:v>1.1000000000000001</c:v>
                </c:pt>
                <c:pt idx="6">
                  <c:v>1.3</c:v>
                </c:pt>
                <c:pt idx="7">
                  <c:v>1.5</c:v>
                </c:pt>
                <c:pt idx="8">
                  <c:v>1.7</c:v>
                </c:pt>
                <c:pt idx="9">
                  <c:v>1.9</c:v>
                </c:pt>
                <c:pt idx="10">
                  <c:v>2.1</c:v>
                </c:pt>
                <c:pt idx="11">
                  <c:v>2.2999999999999998</c:v>
                </c:pt>
                <c:pt idx="12">
                  <c:v>2.5</c:v>
                </c:pt>
                <c:pt idx="13">
                  <c:v>2.7</c:v>
                </c:pt>
                <c:pt idx="14">
                  <c:v>2.9</c:v>
                </c:pt>
                <c:pt idx="15">
                  <c:v>3.1</c:v>
                </c:pt>
                <c:pt idx="16">
                  <c:v>3.3</c:v>
                </c:pt>
                <c:pt idx="17">
                  <c:v>3.5</c:v>
                </c:pt>
                <c:pt idx="18">
                  <c:v>3.7</c:v>
                </c:pt>
                <c:pt idx="19">
                  <c:v>3.9</c:v>
                </c:pt>
                <c:pt idx="20">
                  <c:v>4.0999999999999996</c:v>
                </c:pt>
                <c:pt idx="21">
                  <c:v>4.3</c:v>
                </c:pt>
                <c:pt idx="22">
                  <c:v>4.5</c:v>
                </c:pt>
                <c:pt idx="23">
                  <c:v>4.7</c:v>
                </c:pt>
                <c:pt idx="24">
                  <c:v>4.9000000000000004</c:v>
                </c:pt>
                <c:pt idx="25">
                  <c:v>5.0999999999999996</c:v>
                </c:pt>
                <c:pt idx="26">
                  <c:v>5.3</c:v>
                </c:pt>
                <c:pt idx="27">
                  <c:v>5.5</c:v>
                </c:pt>
                <c:pt idx="28">
                  <c:v>5.7</c:v>
                </c:pt>
              </c:numCache>
            </c:numRef>
          </c:cat>
          <c:val>
            <c:numRef>
              <c:f>'weight_decay vs l2_reg'!$D$5:$D$33</c:f>
              <c:numCache>
                <c:formatCode>0.0000</c:formatCode>
                <c:ptCount val="29"/>
                <c:pt idx="0">
                  <c:v>0.44925037491072672</c:v>
                </c:pt>
                <c:pt idx="1">
                  <c:v>1.3298409299760281</c:v>
                </c:pt>
                <c:pt idx="2">
                  <c:v>2.1574149237189135</c:v>
                </c:pt>
                <c:pt idx="3">
                  <c:v>2.8989795925696096</c:v>
                </c:pt>
                <c:pt idx="4">
                  <c:v>3.5249710933236753</c:v>
                </c:pt>
                <c:pt idx="5">
                  <c:v>4.0104331202764598</c:v>
                </c:pt>
                <c:pt idx="6">
                  <c:v>4.3360118343773681</c:v>
                </c:pt>
                <c:pt idx="7">
                  <c:v>4.4887274397182448</c:v>
                </c:pt>
                <c:pt idx="8">
                  <c:v>4.4624916470361091</c:v>
                </c:pt>
                <c:pt idx="9">
                  <c:v>4.2583503945933652</c:v>
                </c:pt>
                <c:pt idx="10">
                  <c:v>3.884442149919932</c:v>
                </c:pt>
                <c:pt idx="11">
                  <c:v>3.3556734547952409</c:v>
                </c:pt>
                <c:pt idx="12">
                  <c:v>2.6931246484678044</c:v>
                </c:pt>
                <c:pt idx="13">
                  <c:v>1.9232094610522341</c:v>
                </c:pt>
                <c:pt idx="14">
                  <c:v>1.076621981462921</c:v>
                </c:pt>
                <c:pt idx="15">
                  <c:v>0.18711298094980722</c:v>
                </c:pt>
                <c:pt idx="16">
                  <c:v>-0.70985562364461696</c:v>
                </c:pt>
                <c:pt idx="17">
                  <c:v>-1.5785245246032893</c:v>
                </c:pt>
                <c:pt idx="18">
                  <c:v>-2.3842626340882203</c:v>
                </c:pt>
                <c:pt idx="19">
                  <c:v>-3.0949477163278822</c:v>
                </c:pt>
                <c:pt idx="20">
                  <c:v>-3.6822469997898462</c:v>
                </c:pt>
                <c:pt idx="21">
                  <c:v>-4.1227467153725472</c:v>
                </c:pt>
                <c:pt idx="22">
                  <c:v>-4.3988855294929365</c:v>
                </c:pt>
                <c:pt idx="23">
                  <c:v>-4.4996546590384536</c:v>
                </c:pt>
                <c:pt idx="24">
                  <c:v>-4.4210367568094959</c:v>
                </c:pt>
                <c:pt idx="25">
                  <c:v>-4.1661660704747963</c:v>
                </c:pt>
                <c:pt idx="26">
                  <c:v>-3.7452034900075559</c:v>
                </c:pt>
                <c:pt idx="27">
                  <c:v>-3.1749314650667637</c:v>
                </c:pt>
                <c:pt idx="28">
                  <c:v>-2.4780849416893691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2CC-9848-88D8-669EC8F06607}"/>
            </c:ext>
          </c:extLst>
        </c:ser>
        <c:ser>
          <c:idx val="1"/>
          <c:order val="1"/>
          <c:tx>
            <c:strRef>
              <c:f>'weight_decay vs l2_reg'!$C$4</c:f>
              <c:strCache>
                <c:ptCount val="1"/>
                <c:pt idx="0">
                  <c:v>p.data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'weight_decay vs l2_reg'!$A$5:$A$33</c:f>
              <c:numCache>
                <c:formatCode>0.0000</c:formatCode>
                <c:ptCount val="29"/>
                <c:pt idx="0">
                  <c:v>0.1</c:v>
                </c:pt>
                <c:pt idx="1">
                  <c:v>0.3</c:v>
                </c:pt>
                <c:pt idx="2">
                  <c:v>0.5</c:v>
                </c:pt>
                <c:pt idx="3">
                  <c:v>0.7</c:v>
                </c:pt>
                <c:pt idx="4">
                  <c:v>0.9</c:v>
                </c:pt>
                <c:pt idx="5">
                  <c:v>1.1000000000000001</c:v>
                </c:pt>
                <c:pt idx="6">
                  <c:v>1.3</c:v>
                </c:pt>
                <c:pt idx="7">
                  <c:v>1.5</c:v>
                </c:pt>
                <c:pt idx="8">
                  <c:v>1.7</c:v>
                </c:pt>
                <c:pt idx="9">
                  <c:v>1.9</c:v>
                </c:pt>
                <c:pt idx="10">
                  <c:v>2.1</c:v>
                </c:pt>
                <c:pt idx="11">
                  <c:v>2.2999999999999998</c:v>
                </c:pt>
                <c:pt idx="12">
                  <c:v>2.5</c:v>
                </c:pt>
                <c:pt idx="13">
                  <c:v>2.7</c:v>
                </c:pt>
                <c:pt idx="14">
                  <c:v>2.9</c:v>
                </c:pt>
                <c:pt idx="15">
                  <c:v>3.1</c:v>
                </c:pt>
                <c:pt idx="16">
                  <c:v>3.3</c:v>
                </c:pt>
                <c:pt idx="17">
                  <c:v>3.5</c:v>
                </c:pt>
                <c:pt idx="18">
                  <c:v>3.7</c:v>
                </c:pt>
                <c:pt idx="19">
                  <c:v>3.9</c:v>
                </c:pt>
                <c:pt idx="20">
                  <c:v>4.0999999999999996</c:v>
                </c:pt>
                <c:pt idx="21">
                  <c:v>4.3</c:v>
                </c:pt>
                <c:pt idx="22">
                  <c:v>4.5</c:v>
                </c:pt>
                <c:pt idx="23">
                  <c:v>4.7</c:v>
                </c:pt>
                <c:pt idx="24">
                  <c:v>4.9000000000000004</c:v>
                </c:pt>
                <c:pt idx="25">
                  <c:v>5.0999999999999996</c:v>
                </c:pt>
                <c:pt idx="26">
                  <c:v>5.3</c:v>
                </c:pt>
                <c:pt idx="27">
                  <c:v>5.5</c:v>
                </c:pt>
                <c:pt idx="28">
                  <c:v>5.7</c:v>
                </c:pt>
              </c:numCache>
            </c:numRef>
          </c:cat>
          <c:val>
            <c:numRef>
              <c:f>'weight_decay vs l2_reg'!$C$5:$C$33</c:f>
              <c:numCache>
                <c:formatCode>0.0000</c:formatCode>
                <c:ptCount val="29"/>
                <c:pt idx="0">
                  <c:v>0.49916708323414077</c:v>
                </c:pt>
                <c:pt idx="1">
                  <c:v>1.4776010333066978</c:v>
                </c:pt>
                <c:pt idx="2">
                  <c:v>2.397127693021015</c:v>
                </c:pt>
                <c:pt idx="3">
                  <c:v>3.2210884361884551</c:v>
                </c:pt>
                <c:pt idx="4">
                  <c:v>3.916634548137417</c:v>
                </c:pt>
                <c:pt idx="5">
                  <c:v>4.4560368003071771</c:v>
                </c:pt>
                <c:pt idx="6">
                  <c:v>4.8177909270859649</c:v>
                </c:pt>
                <c:pt idx="7">
                  <c:v>4.9874749330202723</c:v>
                </c:pt>
                <c:pt idx="8">
                  <c:v>4.9583240522623431</c:v>
                </c:pt>
                <c:pt idx="9">
                  <c:v>4.731500438437072</c:v>
                </c:pt>
                <c:pt idx="10">
                  <c:v>4.3160468332443687</c:v>
                </c:pt>
                <c:pt idx="11">
                  <c:v>3.7285260608836013</c:v>
                </c:pt>
                <c:pt idx="12">
                  <c:v>2.9923607205197826</c:v>
                </c:pt>
                <c:pt idx="13">
                  <c:v>2.1368994011691491</c:v>
                </c:pt>
                <c:pt idx="14">
                  <c:v>1.1962466460699122</c:v>
                </c:pt>
                <c:pt idx="15">
                  <c:v>0.20790331216645247</c:v>
                </c:pt>
                <c:pt idx="16">
                  <c:v>-0.78872847071624108</c:v>
                </c:pt>
                <c:pt idx="17">
                  <c:v>-1.7539161384480992</c:v>
                </c:pt>
                <c:pt idx="18">
                  <c:v>-2.6491807045424669</c:v>
                </c:pt>
                <c:pt idx="19">
                  <c:v>-3.438830795919869</c:v>
                </c:pt>
                <c:pt idx="20">
                  <c:v>-4.0913855553220513</c:v>
                </c:pt>
                <c:pt idx="21">
                  <c:v>-4.5808296837472744</c:v>
                </c:pt>
                <c:pt idx="22">
                  <c:v>-4.887650588325485</c:v>
                </c:pt>
                <c:pt idx="23">
                  <c:v>-4.9996162878205039</c:v>
                </c:pt>
                <c:pt idx="24">
                  <c:v>-4.9122630631216619</c:v>
                </c:pt>
                <c:pt idx="25">
                  <c:v>-4.6290734116386627</c:v>
                </c:pt>
                <c:pt idx="26">
                  <c:v>-4.1613372111195064</c:v>
                </c:pt>
                <c:pt idx="27">
                  <c:v>-3.5277016278519597</c:v>
                </c:pt>
                <c:pt idx="28">
                  <c:v>-2.7534277129881879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C2CC-9848-88D8-669EC8F06607}"/>
            </c:ext>
          </c:extLst>
        </c:ser>
        <c:ser>
          <c:idx val="2"/>
          <c:order val="2"/>
          <c:tx>
            <c:strRef>
              <c:f>'weight_decay vs l2_reg'!$E$3</c:f>
              <c:strCache>
                <c:ptCount val="1"/>
                <c:pt idx="0">
                  <c:v>[weight_decay, sgd_step]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'weight_decay vs l2_reg'!$A$5:$A$33</c:f>
              <c:numCache>
                <c:formatCode>0.0000</c:formatCode>
                <c:ptCount val="29"/>
                <c:pt idx="0">
                  <c:v>0.1</c:v>
                </c:pt>
                <c:pt idx="1">
                  <c:v>0.3</c:v>
                </c:pt>
                <c:pt idx="2">
                  <c:v>0.5</c:v>
                </c:pt>
                <c:pt idx="3">
                  <c:v>0.7</c:v>
                </c:pt>
                <c:pt idx="4">
                  <c:v>0.9</c:v>
                </c:pt>
                <c:pt idx="5">
                  <c:v>1.1000000000000001</c:v>
                </c:pt>
                <c:pt idx="6">
                  <c:v>1.3</c:v>
                </c:pt>
                <c:pt idx="7">
                  <c:v>1.5</c:v>
                </c:pt>
                <c:pt idx="8">
                  <c:v>1.7</c:v>
                </c:pt>
                <c:pt idx="9">
                  <c:v>1.9</c:v>
                </c:pt>
                <c:pt idx="10">
                  <c:v>2.1</c:v>
                </c:pt>
                <c:pt idx="11">
                  <c:v>2.2999999999999998</c:v>
                </c:pt>
                <c:pt idx="12">
                  <c:v>2.5</c:v>
                </c:pt>
                <c:pt idx="13">
                  <c:v>2.7</c:v>
                </c:pt>
                <c:pt idx="14">
                  <c:v>2.9</c:v>
                </c:pt>
                <c:pt idx="15">
                  <c:v>3.1</c:v>
                </c:pt>
                <c:pt idx="16">
                  <c:v>3.3</c:v>
                </c:pt>
                <c:pt idx="17">
                  <c:v>3.5</c:v>
                </c:pt>
                <c:pt idx="18">
                  <c:v>3.7</c:v>
                </c:pt>
                <c:pt idx="19">
                  <c:v>3.9</c:v>
                </c:pt>
                <c:pt idx="20">
                  <c:v>4.0999999999999996</c:v>
                </c:pt>
                <c:pt idx="21">
                  <c:v>4.3</c:v>
                </c:pt>
                <c:pt idx="22">
                  <c:v>4.5</c:v>
                </c:pt>
                <c:pt idx="23">
                  <c:v>4.7</c:v>
                </c:pt>
                <c:pt idx="24">
                  <c:v>4.9000000000000004</c:v>
                </c:pt>
                <c:pt idx="25">
                  <c:v>5.0999999999999996</c:v>
                </c:pt>
                <c:pt idx="26">
                  <c:v>5.3</c:v>
                </c:pt>
                <c:pt idx="27">
                  <c:v>5.5</c:v>
                </c:pt>
                <c:pt idx="28">
                  <c:v>5.7</c:v>
                </c:pt>
              </c:numCache>
            </c:numRef>
          </c:cat>
          <c:val>
            <c:numRef>
              <c:f>'weight_decay vs l2_reg'!$E$5:$E$33</c:f>
              <c:numCache>
                <c:formatCode>0.0000</c:formatCode>
                <c:ptCount val="29"/>
                <c:pt idx="0">
                  <c:v>0.39933366658731262</c:v>
                </c:pt>
                <c:pt idx="1">
                  <c:v>1.1820808266453584</c:v>
                </c:pt>
                <c:pt idx="2">
                  <c:v>1.917702154416812</c:v>
                </c:pt>
                <c:pt idx="3">
                  <c:v>2.5768707489507641</c:v>
                </c:pt>
                <c:pt idx="4">
                  <c:v>3.1333076385099337</c:v>
                </c:pt>
                <c:pt idx="5">
                  <c:v>3.5648294402457421</c:v>
                </c:pt>
                <c:pt idx="6">
                  <c:v>3.8542327416687718</c:v>
                </c:pt>
                <c:pt idx="7">
                  <c:v>3.9899799464162178</c:v>
                </c:pt>
                <c:pt idx="8">
                  <c:v>3.9666592418098747</c:v>
                </c:pt>
                <c:pt idx="9">
                  <c:v>3.7852003507496579</c:v>
                </c:pt>
                <c:pt idx="10">
                  <c:v>3.4528374665954953</c:v>
                </c:pt>
                <c:pt idx="11">
                  <c:v>2.982820848706881</c:v>
                </c:pt>
                <c:pt idx="12">
                  <c:v>2.3938885764158262</c:v>
                </c:pt>
                <c:pt idx="13">
                  <c:v>1.7095195209353196</c:v>
                </c:pt>
                <c:pt idx="14">
                  <c:v>0.95699731685592981</c:v>
                </c:pt>
                <c:pt idx="15">
                  <c:v>0.16632264973316196</c:v>
                </c:pt>
                <c:pt idx="16">
                  <c:v>-0.63098277657299284</c:v>
                </c:pt>
                <c:pt idx="17">
                  <c:v>-1.4031329107584793</c:v>
                </c:pt>
                <c:pt idx="18">
                  <c:v>-2.1193445636339736</c:v>
                </c:pt>
                <c:pt idx="19">
                  <c:v>-2.7510646367358955</c:v>
                </c:pt>
                <c:pt idx="20">
                  <c:v>-3.273108444257641</c:v>
                </c:pt>
                <c:pt idx="21">
                  <c:v>-3.6646637469978196</c:v>
                </c:pt>
                <c:pt idx="22">
                  <c:v>-3.910120470660388</c:v>
                </c:pt>
                <c:pt idx="23">
                  <c:v>-3.9996930302564033</c:v>
                </c:pt>
                <c:pt idx="24">
                  <c:v>-3.9298104504973299</c:v>
                </c:pt>
                <c:pt idx="25">
                  <c:v>-3.7032587293109298</c:v>
                </c:pt>
                <c:pt idx="26">
                  <c:v>-3.3290697688956055</c:v>
                </c:pt>
                <c:pt idx="27">
                  <c:v>-2.8221613022815677</c:v>
                </c:pt>
                <c:pt idx="28">
                  <c:v>-2.2027421703905503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C2CC-9848-88D8-669EC8F06607}"/>
            </c:ext>
          </c:extLst>
        </c:ser>
        <c:ser>
          <c:idx val="3"/>
          <c:order val="3"/>
          <c:tx>
            <c:strRef>
              <c:f>'weight_decay vs l2_reg'!$F$3</c:f>
              <c:strCache>
                <c:ptCount val="1"/>
                <c:pt idx="0">
                  <c:v>[l2_reg, sgd_step]</c:v>
                </c:pt>
              </c:strCache>
            </c:strRef>
          </c:tx>
          <c:spPr>
            <a:ln w="63500" cap="flat" cmpd="tri">
              <a:gradFill>
                <a:gsLst>
                  <a:gs pos="2000">
                    <a:srgbClr val="7030A0">
                      <a:alpha val="37000"/>
                    </a:srgb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prstDash val="sysDash"/>
              <a:miter lim="800000"/>
            </a:ln>
            <a:effectLst/>
          </c:spPr>
          <c:marker>
            <c:symbol val="none"/>
          </c:marker>
          <c:cat>
            <c:numRef>
              <c:f>'weight_decay vs l2_reg'!$A$5:$A$33</c:f>
              <c:numCache>
                <c:formatCode>0.0000</c:formatCode>
                <c:ptCount val="29"/>
                <c:pt idx="0">
                  <c:v>0.1</c:v>
                </c:pt>
                <c:pt idx="1">
                  <c:v>0.3</c:v>
                </c:pt>
                <c:pt idx="2">
                  <c:v>0.5</c:v>
                </c:pt>
                <c:pt idx="3">
                  <c:v>0.7</c:v>
                </c:pt>
                <c:pt idx="4">
                  <c:v>0.9</c:v>
                </c:pt>
                <c:pt idx="5">
                  <c:v>1.1000000000000001</c:v>
                </c:pt>
                <c:pt idx="6">
                  <c:v>1.3</c:v>
                </c:pt>
                <c:pt idx="7">
                  <c:v>1.5</c:v>
                </c:pt>
                <c:pt idx="8">
                  <c:v>1.7</c:v>
                </c:pt>
                <c:pt idx="9">
                  <c:v>1.9</c:v>
                </c:pt>
                <c:pt idx="10">
                  <c:v>2.1</c:v>
                </c:pt>
                <c:pt idx="11">
                  <c:v>2.2999999999999998</c:v>
                </c:pt>
                <c:pt idx="12">
                  <c:v>2.5</c:v>
                </c:pt>
                <c:pt idx="13">
                  <c:v>2.7</c:v>
                </c:pt>
                <c:pt idx="14">
                  <c:v>2.9</c:v>
                </c:pt>
                <c:pt idx="15">
                  <c:v>3.1</c:v>
                </c:pt>
                <c:pt idx="16">
                  <c:v>3.3</c:v>
                </c:pt>
                <c:pt idx="17">
                  <c:v>3.5</c:v>
                </c:pt>
                <c:pt idx="18">
                  <c:v>3.7</c:v>
                </c:pt>
                <c:pt idx="19">
                  <c:v>3.9</c:v>
                </c:pt>
                <c:pt idx="20">
                  <c:v>4.0999999999999996</c:v>
                </c:pt>
                <c:pt idx="21">
                  <c:v>4.3</c:v>
                </c:pt>
                <c:pt idx="22">
                  <c:v>4.5</c:v>
                </c:pt>
                <c:pt idx="23">
                  <c:v>4.7</c:v>
                </c:pt>
                <c:pt idx="24">
                  <c:v>4.9000000000000004</c:v>
                </c:pt>
                <c:pt idx="25">
                  <c:v>5.0999999999999996</c:v>
                </c:pt>
                <c:pt idx="26">
                  <c:v>5.3</c:v>
                </c:pt>
                <c:pt idx="27">
                  <c:v>5.5</c:v>
                </c:pt>
                <c:pt idx="28">
                  <c:v>5.7</c:v>
                </c:pt>
              </c:numCache>
            </c:numRef>
          </c:cat>
          <c:val>
            <c:numRef>
              <c:f>'weight_decay vs l2_reg'!$F$5:$F$33</c:f>
              <c:numCache>
                <c:formatCode>0.0000</c:formatCode>
                <c:ptCount val="29"/>
                <c:pt idx="0">
                  <c:v>0.39933366658731262</c:v>
                </c:pt>
                <c:pt idx="1">
                  <c:v>1.1820808266453582</c:v>
                </c:pt>
                <c:pt idx="2">
                  <c:v>1.917702154416812</c:v>
                </c:pt>
                <c:pt idx="3">
                  <c:v>2.5768707489507641</c:v>
                </c:pt>
                <c:pt idx="4">
                  <c:v>3.1333076385099337</c:v>
                </c:pt>
                <c:pt idx="5">
                  <c:v>3.5648294402457417</c:v>
                </c:pt>
                <c:pt idx="6">
                  <c:v>3.8542327416687718</c:v>
                </c:pt>
                <c:pt idx="7">
                  <c:v>3.9899799464162178</c:v>
                </c:pt>
                <c:pt idx="8">
                  <c:v>3.9666592418098743</c:v>
                </c:pt>
                <c:pt idx="9">
                  <c:v>3.7852003507496574</c:v>
                </c:pt>
                <c:pt idx="10">
                  <c:v>3.4528374665954948</c:v>
                </c:pt>
                <c:pt idx="11">
                  <c:v>2.982820848706881</c:v>
                </c:pt>
                <c:pt idx="12">
                  <c:v>2.3938885764158262</c:v>
                </c:pt>
                <c:pt idx="13">
                  <c:v>1.7095195209353193</c:v>
                </c:pt>
                <c:pt idx="14">
                  <c:v>0.9569973168559297</c:v>
                </c:pt>
                <c:pt idx="15">
                  <c:v>0.16632264973316196</c:v>
                </c:pt>
                <c:pt idx="16">
                  <c:v>-0.63098277657299284</c:v>
                </c:pt>
                <c:pt idx="17">
                  <c:v>-1.4031329107584793</c:v>
                </c:pt>
                <c:pt idx="18">
                  <c:v>-2.1193445636339736</c:v>
                </c:pt>
                <c:pt idx="19">
                  <c:v>-2.7510646367358951</c:v>
                </c:pt>
                <c:pt idx="20">
                  <c:v>-3.273108444257641</c:v>
                </c:pt>
                <c:pt idx="21">
                  <c:v>-3.6646637469978196</c:v>
                </c:pt>
                <c:pt idx="22">
                  <c:v>-3.910120470660388</c:v>
                </c:pt>
                <c:pt idx="23">
                  <c:v>-3.9996930302564033</c:v>
                </c:pt>
                <c:pt idx="24">
                  <c:v>-3.9298104504973295</c:v>
                </c:pt>
                <c:pt idx="25">
                  <c:v>-3.7032587293109303</c:v>
                </c:pt>
                <c:pt idx="26">
                  <c:v>-3.329069768895605</c:v>
                </c:pt>
                <c:pt idx="27">
                  <c:v>-2.8221613022815677</c:v>
                </c:pt>
                <c:pt idx="28">
                  <c:v>-2.2027421703905503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C2CC-9848-88D8-669EC8F06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6771632"/>
        <c:axId val="586741792"/>
      </c:lineChart>
      <c:catAx>
        <c:axId val="586771632"/>
        <c:scaling>
          <c:orientation val="minMax"/>
        </c:scaling>
        <c:delete val="0"/>
        <c:axPos val="b"/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586741792"/>
        <c:crosses val="autoZero"/>
        <c:auto val="1"/>
        <c:lblAlgn val="ctr"/>
        <c:lblOffset val="100"/>
        <c:noMultiLvlLbl val="0"/>
      </c:catAx>
      <c:valAx>
        <c:axId val="586741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weights</a:t>
                </a:r>
              </a:p>
            </c:rich>
          </c:tx>
          <c:layout>
            <c:manualLayout>
              <c:xMode val="edge"/>
              <c:yMode val="edge"/>
              <c:x val="9.057971014492754E-3"/>
              <c:y val="0.121293280120806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CN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586771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weight_decay</a:t>
            </a:r>
            <a:r>
              <a:rPr lang="en-US" baseline="0"/>
              <a:t> and l2_reg differ under momentum_step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'weight_decay vs l2_reg'!$C$4</c:f>
              <c:strCache>
                <c:ptCount val="1"/>
                <c:pt idx="0">
                  <c:v>p.data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'weight_decay vs l2_reg'!$A$5:$A$33</c:f>
              <c:numCache>
                <c:formatCode>0.0000</c:formatCode>
                <c:ptCount val="29"/>
                <c:pt idx="0">
                  <c:v>0.1</c:v>
                </c:pt>
                <c:pt idx="1">
                  <c:v>0.3</c:v>
                </c:pt>
                <c:pt idx="2">
                  <c:v>0.5</c:v>
                </c:pt>
                <c:pt idx="3">
                  <c:v>0.7</c:v>
                </c:pt>
                <c:pt idx="4">
                  <c:v>0.9</c:v>
                </c:pt>
                <c:pt idx="5">
                  <c:v>1.1000000000000001</c:v>
                </c:pt>
                <c:pt idx="6">
                  <c:v>1.3</c:v>
                </c:pt>
                <c:pt idx="7">
                  <c:v>1.5</c:v>
                </c:pt>
                <c:pt idx="8">
                  <c:v>1.7</c:v>
                </c:pt>
                <c:pt idx="9">
                  <c:v>1.9</c:v>
                </c:pt>
                <c:pt idx="10">
                  <c:v>2.1</c:v>
                </c:pt>
                <c:pt idx="11">
                  <c:v>2.2999999999999998</c:v>
                </c:pt>
                <c:pt idx="12">
                  <c:v>2.5</c:v>
                </c:pt>
                <c:pt idx="13">
                  <c:v>2.7</c:v>
                </c:pt>
                <c:pt idx="14">
                  <c:v>2.9</c:v>
                </c:pt>
                <c:pt idx="15">
                  <c:v>3.1</c:v>
                </c:pt>
                <c:pt idx="16">
                  <c:v>3.3</c:v>
                </c:pt>
                <c:pt idx="17">
                  <c:v>3.5</c:v>
                </c:pt>
                <c:pt idx="18">
                  <c:v>3.7</c:v>
                </c:pt>
                <c:pt idx="19">
                  <c:v>3.9</c:v>
                </c:pt>
                <c:pt idx="20">
                  <c:v>4.0999999999999996</c:v>
                </c:pt>
                <c:pt idx="21">
                  <c:v>4.3</c:v>
                </c:pt>
                <c:pt idx="22">
                  <c:v>4.5</c:v>
                </c:pt>
                <c:pt idx="23">
                  <c:v>4.7</c:v>
                </c:pt>
                <c:pt idx="24">
                  <c:v>4.9000000000000004</c:v>
                </c:pt>
                <c:pt idx="25">
                  <c:v>5.0999999999999996</c:v>
                </c:pt>
                <c:pt idx="26">
                  <c:v>5.3</c:v>
                </c:pt>
                <c:pt idx="27">
                  <c:v>5.5</c:v>
                </c:pt>
                <c:pt idx="28">
                  <c:v>5.7</c:v>
                </c:pt>
              </c:numCache>
            </c:numRef>
          </c:cat>
          <c:val>
            <c:numRef>
              <c:f>'weight_decay vs l2_reg'!$C$5:$C$33</c:f>
              <c:numCache>
                <c:formatCode>0.0000</c:formatCode>
                <c:ptCount val="29"/>
                <c:pt idx="0">
                  <c:v>0.49916708323414077</c:v>
                </c:pt>
                <c:pt idx="1">
                  <c:v>1.4776010333066978</c:v>
                </c:pt>
                <c:pt idx="2">
                  <c:v>2.397127693021015</c:v>
                </c:pt>
                <c:pt idx="3">
                  <c:v>3.2210884361884551</c:v>
                </c:pt>
                <c:pt idx="4">
                  <c:v>3.916634548137417</c:v>
                </c:pt>
                <c:pt idx="5">
                  <c:v>4.4560368003071771</c:v>
                </c:pt>
                <c:pt idx="6">
                  <c:v>4.8177909270859649</c:v>
                </c:pt>
                <c:pt idx="7">
                  <c:v>4.9874749330202723</c:v>
                </c:pt>
                <c:pt idx="8">
                  <c:v>4.9583240522623431</c:v>
                </c:pt>
                <c:pt idx="9">
                  <c:v>4.731500438437072</c:v>
                </c:pt>
                <c:pt idx="10">
                  <c:v>4.3160468332443687</c:v>
                </c:pt>
                <c:pt idx="11">
                  <c:v>3.7285260608836013</c:v>
                </c:pt>
                <c:pt idx="12">
                  <c:v>2.9923607205197826</c:v>
                </c:pt>
                <c:pt idx="13">
                  <c:v>2.1368994011691491</c:v>
                </c:pt>
                <c:pt idx="14">
                  <c:v>1.1962466460699122</c:v>
                </c:pt>
                <c:pt idx="15">
                  <c:v>0.20790331216645247</c:v>
                </c:pt>
                <c:pt idx="16">
                  <c:v>-0.78872847071624108</c:v>
                </c:pt>
                <c:pt idx="17">
                  <c:v>-1.7539161384480992</c:v>
                </c:pt>
                <c:pt idx="18">
                  <c:v>-2.6491807045424669</c:v>
                </c:pt>
                <c:pt idx="19">
                  <c:v>-3.438830795919869</c:v>
                </c:pt>
                <c:pt idx="20">
                  <c:v>-4.0913855553220513</c:v>
                </c:pt>
                <c:pt idx="21">
                  <c:v>-4.5808296837472744</c:v>
                </c:pt>
                <c:pt idx="22">
                  <c:v>-4.887650588325485</c:v>
                </c:pt>
                <c:pt idx="23">
                  <c:v>-4.9996162878205039</c:v>
                </c:pt>
                <c:pt idx="24">
                  <c:v>-4.9122630631216619</c:v>
                </c:pt>
                <c:pt idx="25">
                  <c:v>-4.6290734116386627</c:v>
                </c:pt>
                <c:pt idx="26">
                  <c:v>-4.1613372111195064</c:v>
                </c:pt>
                <c:pt idx="27">
                  <c:v>-3.5277016278519597</c:v>
                </c:pt>
                <c:pt idx="28">
                  <c:v>-2.7534277129881879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98-F040-9C25-D0E4F074CE99}"/>
            </c:ext>
          </c:extLst>
        </c:ser>
        <c:ser>
          <c:idx val="1"/>
          <c:order val="1"/>
          <c:tx>
            <c:strRef>
              <c:f>'weight_decay vs l2_reg'!$G$3</c:f>
              <c:strCache>
                <c:ptCount val="1"/>
                <c:pt idx="0">
                  <c:v>[weight_decay, momentum_step]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'weight_decay vs l2_reg'!$A$5:$A$33</c:f>
              <c:numCache>
                <c:formatCode>0.0000</c:formatCode>
                <c:ptCount val="29"/>
                <c:pt idx="0">
                  <c:v>0.1</c:v>
                </c:pt>
                <c:pt idx="1">
                  <c:v>0.3</c:v>
                </c:pt>
                <c:pt idx="2">
                  <c:v>0.5</c:v>
                </c:pt>
                <c:pt idx="3">
                  <c:v>0.7</c:v>
                </c:pt>
                <c:pt idx="4">
                  <c:v>0.9</c:v>
                </c:pt>
                <c:pt idx="5">
                  <c:v>1.1000000000000001</c:v>
                </c:pt>
                <c:pt idx="6">
                  <c:v>1.3</c:v>
                </c:pt>
                <c:pt idx="7">
                  <c:v>1.5</c:v>
                </c:pt>
                <c:pt idx="8">
                  <c:v>1.7</c:v>
                </c:pt>
                <c:pt idx="9">
                  <c:v>1.9</c:v>
                </c:pt>
                <c:pt idx="10">
                  <c:v>2.1</c:v>
                </c:pt>
                <c:pt idx="11">
                  <c:v>2.2999999999999998</c:v>
                </c:pt>
                <c:pt idx="12">
                  <c:v>2.5</c:v>
                </c:pt>
                <c:pt idx="13">
                  <c:v>2.7</c:v>
                </c:pt>
                <c:pt idx="14">
                  <c:v>2.9</c:v>
                </c:pt>
                <c:pt idx="15">
                  <c:v>3.1</c:v>
                </c:pt>
                <c:pt idx="16">
                  <c:v>3.3</c:v>
                </c:pt>
                <c:pt idx="17">
                  <c:v>3.5</c:v>
                </c:pt>
                <c:pt idx="18">
                  <c:v>3.7</c:v>
                </c:pt>
                <c:pt idx="19">
                  <c:v>3.9</c:v>
                </c:pt>
                <c:pt idx="20">
                  <c:v>4.0999999999999996</c:v>
                </c:pt>
                <c:pt idx="21">
                  <c:v>4.3</c:v>
                </c:pt>
                <c:pt idx="22">
                  <c:v>4.5</c:v>
                </c:pt>
                <c:pt idx="23">
                  <c:v>4.7</c:v>
                </c:pt>
                <c:pt idx="24">
                  <c:v>4.9000000000000004</c:v>
                </c:pt>
                <c:pt idx="25">
                  <c:v>5.0999999999999996</c:v>
                </c:pt>
                <c:pt idx="26">
                  <c:v>5.3</c:v>
                </c:pt>
                <c:pt idx="27">
                  <c:v>5.5</c:v>
                </c:pt>
                <c:pt idx="28">
                  <c:v>5.7</c:v>
                </c:pt>
              </c:numCache>
            </c:numRef>
          </c:cat>
          <c:val>
            <c:numRef>
              <c:f>'weight_decay vs l2_reg'!$G$5:$G$33</c:f>
              <c:numCache>
                <c:formatCode>0.0000</c:formatCode>
                <c:ptCount val="29"/>
                <c:pt idx="0">
                  <c:v>0.39925870407838532</c:v>
                </c:pt>
                <c:pt idx="1">
                  <c:v>1.2700649196429612</c:v>
                </c:pt>
                <c:pt idx="2">
                  <c:v>2.0884436467887033</c:v>
                </c:pt>
                <c:pt idx="3">
                  <c:v>2.821768708207725</c:v>
                </c:pt>
                <c:pt idx="4">
                  <c:v>3.4408047478423009</c:v>
                </c:pt>
                <c:pt idx="5">
                  <c:v>3.9208727522733882</c:v>
                </c:pt>
                <c:pt idx="6">
                  <c:v>4.2428339251065088</c:v>
                </c:pt>
                <c:pt idx="7">
                  <c:v>4.3938526903880417</c:v>
                </c:pt>
                <c:pt idx="8">
                  <c:v>4.3679084065134859</c:v>
                </c:pt>
                <c:pt idx="9">
                  <c:v>4.1660353902089948</c:v>
                </c:pt>
                <c:pt idx="10">
                  <c:v>3.7962816815874882</c:v>
                </c:pt>
                <c:pt idx="11">
                  <c:v>3.2733881941864054</c:v>
                </c:pt>
                <c:pt idx="12">
                  <c:v>2.6182010412626067</c:v>
                </c:pt>
                <c:pt idx="13">
                  <c:v>1.8568404670405427</c:v>
                </c:pt>
                <c:pt idx="14">
                  <c:v>1.0196595150022219</c:v>
                </c:pt>
                <c:pt idx="15">
                  <c:v>0.14003394782814269</c:v>
                </c:pt>
                <c:pt idx="16">
                  <c:v>-0.74696833893745451</c:v>
                </c:pt>
                <c:pt idx="17">
                  <c:v>-1.6059853632188084</c:v>
                </c:pt>
                <c:pt idx="18">
                  <c:v>-2.4027708270427954</c:v>
                </c:pt>
                <c:pt idx="19">
                  <c:v>-3.1055594083686837</c:v>
                </c:pt>
                <c:pt idx="20">
                  <c:v>-3.6863331442366256</c:v>
                </c:pt>
                <c:pt idx="21">
                  <c:v>-4.1219384185350743</c:v>
                </c:pt>
                <c:pt idx="22">
                  <c:v>-4.3950090236096813</c:v>
                </c:pt>
                <c:pt idx="23">
                  <c:v>-4.4946584961602483</c:v>
                </c:pt>
                <c:pt idx="24">
                  <c:v>-4.4169141261782796</c:v>
                </c:pt>
                <c:pt idx="25">
                  <c:v>-4.1648753363584099</c:v>
                </c:pt>
                <c:pt idx="26">
                  <c:v>-3.7485901178963608</c:v>
                </c:pt>
                <c:pt idx="27">
                  <c:v>-3.184654448788244</c:v>
                </c:pt>
                <c:pt idx="28">
                  <c:v>-2.4955506645594872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98-F040-9C25-D0E4F074CE99}"/>
            </c:ext>
          </c:extLst>
        </c:ser>
        <c:ser>
          <c:idx val="2"/>
          <c:order val="2"/>
          <c:tx>
            <c:strRef>
              <c:f>'weight_decay vs l2_reg'!$H$3</c:f>
              <c:strCache>
                <c:ptCount val="1"/>
                <c:pt idx="0">
                  <c:v>[l2_reg, momentum_step]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'weight_decay vs l2_reg'!$A$5:$A$33</c:f>
              <c:numCache>
                <c:formatCode>0.0000</c:formatCode>
                <c:ptCount val="29"/>
                <c:pt idx="0">
                  <c:v>0.1</c:v>
                </c:pt>
                <c:pt idx="1">
                  <c:v>0.3</c:v>
                </c:pt>
                <c:pt idx="2">
                  <c:v>0.5</c:v>
                </c:pt>
                <c:pt idx="3">
                  <c:v>0.7</c:v>
                </c:pt>
                <c:pt idx="4">
                  <c:v>0.9</c:v>
                </c:pt>
                <c:pt idx="5">
                  <c:v>1.1000000000000001</c:v>
                </c:pt>
                <c:pt idx="6">
                  <c:v>1.3</c:v>
                </c:pt>
                <c:pt idx="7">
                  <c:v>1.5</c:v>
                </c:pt>
                <c:pt idx="8">
                  <c:v>1.7</c:v>
                </c:pt>
                <c:pt idx="9">
                  <c:v>1.9</c:v>
                </c:pt>
                <c:pt idx="10">
                  <c:v>2.1</c:v>
                </c:pt>
                <c:pt idx="11">
                  <c:v>2.2999999999999998</c:v>
                </c:pt>
                <c:pt idx="12">
                  <c:v>2.5</c:v>
                </c:pt>
                <c:pt idx="13">
                  <c:v>2.7</c:v>
                </c:pt>
                <c:pt idx="14">
                  <c:v>2.9</c:v>
                </c:pt>
                <c:pt idx="15">
                  <c:v>3.1</c:v>
                </c:pt>
                <c:pt idx="16">
                  <c:v>3.3</c:v>
                </c:pt>
                <c:pt idx="17">
                  <c:v>3.5</c:v>
                </c:pt>
                <c:pt idx="18">
                  <c:v>3.7</c:v>
                </c:pt>
                <c:pt idx="19">
                  <c:v>3.9</c:v>
                </c:pt>
                <c:pt idx="20">
                  <c:v>4.0999999999999996</c:v>
                </c:pt>
                <c:pt idx="21">
                  <c:v>4.3</c:v>
                </c:pt>
                <c:pt idx="22">
                  <c:v>4.5</c:v>
                </c:pt>
                <c:pt idx="23">
                  <c:v>4.7</c:v>
                </c:pt>
                <c:pt idx="24">
                  <c:v>4.9000000000000004</c:v>
                </c:pt>
                <c:pt idx="25">
                  <c:v>5.0999999999999996</c:v>
                </c:pt>
                <c:pt idx="26">
                  <c:v>5.3</c:v>
                </c:pt>
                <c:pt idx="27">
                  <c:v>5.5</c:v>
                </c:pt>
                <c:pt idx="28">
                  <c:v>5.7</c:v>
                </c:pt>
              </c:numCache>
            </c:numRef>
          </c:cat>
          <c:val>
            <c:numRef>
              <c:f>'weight_decay vs l2_reg'!$H$5:$H$33</c:f>
              <c:numCache>
                <c:formatCode>0.0000</c:formatCode>
                <c:ptCount val="29"/>
                <c:pt idx="0">
                  <c:v>0.44418374156945795</c:v>
                </c:pt>
                <c:pt idx="1">
                  <c:v>1.4030490126405639</c:v>
                </c:pt>
                <c:pt idx="2">
                  <c:v>2.3041851391605945</c:v>
                </c:pt>
                <c:pt idx="3">
                  <c:v>3.1116666674646858</c:v>
                </c:pt>
                <c:pt idx="4">
                  <c:v>3.7933018571746686</c:v>
                </c:pt>
                <c:pt idx="5">
                  <c:v>4.3219160643010337</c:v>
                </c:pt>
                <c:pt idx="6">
                  <c:v>4.6764351085442453</c:v>
                </c:pt>
                <c:pt idx="7">
                  <c:v>4.8427254343598669</c:v>
                </c:pt>
                <c:pt idx="8">
                  <c:v>4.8141575712170965</c:v>
                </c:pt>
                <c:pt idx="9">
                  <c:v>4.5918704296683304</c:v>
                </c:pt>
                <c:pt idx="10">
                  <c:v>4.1847258965794811</c:v>
                </c:pt>
                <c:pt idx="11">
                  <c:v>3.6089555396659292</c:v>
                </c:pt>
                <c:pt idx="12">
                  <c:v>2.8875135061093871</c:v>
                </c:pt>
                <c:pt idx="13">
                  <c:v>2.0491614131457663</c:v>
                </c:pt>
                <c:pt idx="14">
                  <c:v>1.1273217131485138</c:v>
                </c:pt>
                <c:pt idx="15">
                  <c:v>0.15874524592312342</c:v>
                </c:pt>
                <c:pt idx="16">
                  <c:v>-0.81795390130191625</c:v>
                </c:pt>
                <c:pt idx="17">
                  <c:v>-1.7638378156791372</c:v>
                </c:pt>
                <c:pt idx="18">
                  <c:v>-2.6411970904516178</c:v>
                </c:pt>
                <c:pt idx="19">
                  <c:v>-3.4150541800014715</c:v>
                </c:pt>
                <c:pt idx="20">
                  <c:v>-4.0545578442156103</c:v>
                </c:pt>
                <c:pt idx="21">
                  <c:v>-4.5342130900723285</c:v>
                </c:pt>
                <c:pt idx="22">
                  <c:v>-4.8348975765589755</c:v>
                </c:pt>
                <c:pt idx="23">
                  <c:v>-4.9446239620640942</c:v>
                </c:pt>
                <c:pt idx="24">
                  <c:v>-4.8590178018592285</c:v>
                </c:pt>
                <c:pt idx="25">
                  <c:v>-4.5814919434058892</c:v>
                </c:pt>
                <c:pt idx="26">
                  <c:v>-4.1231104668971161</c:v>
                </c:pt>
                <c:pt idx="27">
                  <c:v>-3.5021475952949204</c:v>
                </c:pt>
                <c:pt idx="28">
                  <c:v>-2.7433591587284241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F98-F040-9C25-D0E4F074CE99}"/>
            </c:ext>
          </c:extLst>
        </c:ser>
        <c:ser>
          <c:idx val="3"/>
          <c:order val="3"/>
          <c:tx>
            <c:strRef>
              <c:f>'weight_decay vs l2_reg'!$I$4</c:f>
              <c:strCache>
                <c:ptCount val="1"/>
                <c:pt idx="0">
                  <c:v>[momentum_step]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'weight_decay vs l2_reg'!$A$5:$A$33</c:f>
              <c:numCache>
                <c:formatCode>0.0000</c:formatCode>
                <c:ptCount val="29"/>
                <c:pt idx="0">
                  <c:v>0.1</c:v>
                </c:pt>
                <c:pt idx="1">
                  <c:v>0.3</c:v>
                </c:pt>
                <c:pt idx="2">
                  <c:v>0.5</c:v>
                </c:pt>
                <c:pt idx="3">
                  <c:v>0.7</c:v>
                </c:pt>
                <c:pt idx="4">
                  <c:v>0.9</c:v>
                </c:pt>
                <c:pt idx="5">
                  <c:v>1.1000000000000001</c:v>
                </c:pt>
                <c:pt idx="6">
                  <c:v>1.3</c:v>
                </c:pt>
                <c:pt idx="7">
                  <c:v>1.5</c:v>
                </c:pt>
                <c:pt idx="8">
                  <c:v>1.7</c:v>
                </c:pt>
                <c:pt idx="9">
                  <c:v>1.9</c:v>
                </c:pt>
                <c:pt idx="10">
                  <c:v>2.1</c:v>
                </c:pt>
                <c:pt idx="11">
                  <c:v>2.2999999999999998</c:v>
                </c:pt>
                <c:pt idx="12">
                  <c:v>2.5</c:v>
                </c:pt>
                <c:pt idx="13">
                  <c:v>2.7</c:v>
                </c:pt>
                <c:pt idx="14">
                  <c:v>2.9</c:v>
                </c:pt>
                <c:pt idx="15">
                  <c:v>3.1</c:v>
                </c:pt>
                <c:pt idx="16">
                  <c:v>3.3</c:v>
                </c:pt>
                <c:pt idx="17">
                  <c:v>3.5</c:v>
                </c:pt>
                <c:pt idx="18">
                  <c:v>3.7</c:v>
                </c:pt>
                <c:pt idx="19">
                  <c:v>3.9</c:v>
                </c:pt>
                <c:pt idx="20">
                  <c:v>4.0999999999999996</c:v>
                </c:pt>
                <c:pt idx="21">
                  <c:v>4.3</c:v>
                </c:pt>
                <c:pt idx="22">
                  <c:v>4.5</c:v>
                </c:pt>
                <c:pt idx="23">
                  <c:v>4.7</c:v>
                </c:pt>
                <c:pt idx="24">
                  <c:v>4.9000000000000004</c:v>
                </c:pt>
                <c:pt idx="25">
                  <c:v>5.0999999999999996</c:v>
                </c:pt>
                <c:pt idx="26">
                  <c:v>5.3</c:v>
                </c:pt>
                <c:pt idx="27">
                  <c:v>5.5</c:v>
                </c:pt>
                <c:pt idx="28">
                  <c:v>5.7</c:v>
                </c:pt>
              </c:numCache>
            </c:numRef>
          </c:cat>
          <c:val>
            <c:numRef>
              <c:f>'weight_decay vs l2_reg'!$I$5:$I$33</c:f>
              <c:numCache>
                <c:formatCode>0.0000</c:formatCode>
                <c:ptCount val="29"/>
                <c:pt idx="0">
                  <c:v>0.44917541240179937</c:v>
                </c:pt>
                <c:pt idx="1">
                  <c:v>1.4178250229736309</c:v>
                </c:pt>
                <c:pt idx="2">
                  <c:v>2.3281564160908048</c:v>
                </c:pt>
                <c:pt idx="3">
                  <c:v>3.1438775518265705</c:v>
                </c:pt>
                <c:pt idx="4">
                  <c:v>3.8324682026560426</c:v>
                </c:pt>
                <c:pt idx="5">
                  <c:v>4.366476432304105</c:v>
                </c:pt>
                <c:pt idx="6">
                  <c:v>4.7246130178151056</c:v>
                </c:pt>
                <c:pt idx="7">
                  <c:v>4.8926001836900692</c:v>
                </c:pt>
                <c:pt idx="8">
                  <c:v>4.8637408117397198</c:v>
                </c:pt>
                <c:pt idx="9">
                  <c:v>4.6391854340527017</c:v>
                </c:pt>
                <c:pt idx="10">
                  <c:v>4.2278863649119254</c:v>
                </c:pt>
                <c:pt idx="11">
                  <c:v>3.6462408002747653</c:v>
                </c:pt>
                <c:pt idx="12">
                  <c:v>2.9174371133145849</c:v>
                </c:pt>
                <c:pt idx="13">
                  <c:v>2.0705304071574577</c:v>
                </c:pt>
                <c:pt idx="14">
                  <c:v>1.139284179609213</c:v>
                </c:pt>
                <c:pt idx="15">
                  <c:v>0.16082427904478794</c:v>
                </c:pt>
                <c:pt idx="16">
                  <c:v>-0.82584118600907863</c:v>
                </c:pt>
                <c:pt idx="17">
                  <c:v>-1.7813769770636183</c:v>
                </c:pt>
                <c:pt idx="18">
                  <c:v>-2.6676888974970421</c:v>
                </c:pt>
                <c:pt idx="19">
                  <c:v>-3.4494424879606704</c:v>
                </c:pt>
                <c:pt idx="20">
                  <c:v>-4.0954716997688312</c:v>
                </c:pt>
                <c:pt idx="21">
                  <c:v>-4.5800213869098014</c:v>
                </c:pt>
                <c:pt idx="22">
                  <c:v>-4.8837740824422298</c:v>
                </c:pt>
                <c:pt idx="23">
                  <c:v>-4.9946201249422986</c:v>
                </c:pt>
                <c:pt idx="24">
                  <c:v>-4.9081404324904456</c:v>
                </c:pt>
                <c:pt idx="25">
                  <c:v>-4.6277826775222763</c:v>
                </c:pt>
                <c:pt idx="26">
                  <c:v>-4.1647238390083112</c:v>
                </c:pt>
                <c:pt idx="27">
                  <c:v>-3.53742461157344</c:v>
                </c:pt>
                <c:pt idx="28">
                  <c:v>-2.7708934358583059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F98-F040-9C25-D0E4F074CE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8024560"/>
        <c:axId val="575509328"/>
      </c:lineChart>
      <c:catAx>
        <c:axId val="608024560"/>
        <c:scaling>
          <c:orientation val="minMax"/>
        </c:scaling>
        <c:delete val="0"/>
        <c:axPos val="b"/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575509328"/>
        <c:crosses val="autoZero"/>
        <c:auto val="1"/>
        <c:lblAlgn val="ctr"/>
        <c:lblOffset val="100"/>
        <c:noMultiLvlLbl val="0"/>
      </c:catAx>
      <c:valAx>
        <c:axId val="575509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Weights</a:t>
                </a:r>
              </a:p>
            </c:rich>
          </c:tx>
          <c:layout>
            <c:manualLayout>
              <c:xMode val="edge"/>
              <c:yMode val="edge"/>
              <c:x val="1.4900662251655629E-2"/>
              <c:y val="0.120678919890448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CN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608024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7" Type="http://schemas.openxmlformats.org/officeDocument/2006/relationships/chart" Target="../charts/chart2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88900</xdr:colOff>
          <xdr:row>45</xdr:row>
          <xdr:rowOff>38100</xdr:rowOff>
        </xdr:from>
        <xdr:to>
          <xdr:col>3</xdr:col>
          <xdr:colOff>1104900</xdr:colOff>
          <xdr:row>46</xdr:row>
          <xdr:rowOff>0</xdr:rowOff>
        </xdr:to>
        <xdr:sp macro="" textlink="">
          <xdr:nvSpPr>
            <xdr:cNvPr id="1033" name="Button 9" descr="copy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from last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36</xdr:row>
      <xdr:rowOff>76200</xdr:rowOff>
    </xdr:from>
    <xdr:to>
      <xdr:col>3</xdr:col>
      <xdr:colOff>1993900</xdr:colOff>
      <xdr:row>59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787753D-5692-BDDD-AE71-969609B7A8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20</xdr:col>
      <xdr:colOff>12700</xdr:colOff>
      <xdr:row>2</xdr:row>
      <xdr:rowOff>101600</xdr:rowOff>
    </xdr:from>
    <xdr:to>
      <xdr:col>26</xdr:col>
      <xdr:colOff>177800</xdr:colOff>
      <xdr:row>9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D79B155-5B25-BE05-C73F-C9AEEE40BF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867600" y="508000"/>
          <a:ext cx="5118100" cy="1320800"/>
        </a:xfrm>
        <a:prstGeom prst="rect">
          <a:avLst/>
        </a:prstGeom>
      </xdr:spPr>
    </xdr:pic>
    <xdr:clientData/>
  </xdr:twoCellAnchor>
  <xdr:twoCellAnchor editAs="oneCell">
    <xdr:from>
      <xdr:col>19</xdr:col>
      <xdr:colOff>812800</xdr:colOff>
      <xdr:row>10</xdr:row>
      <xdr:rowOff>50800</xdr:rowOff>
    </xdr:from>
    <xdr:to>
      <xdr:col>26</xdr:col>
      <xdr:colOff>749300</xdr:colOff>
      <xdr:row>16</xdr:row>
      <xdr:rowOff>177800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AA97A19-3B4F-6D08-7AB9-995B2E01DD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842200" y="2082800"/>
          <a:ext cx="5715000" cy="1346200"/>
        </a:xfrm>
        <a:prstGeom prst="rect">
          <a:avLst/>
        </a:prstGeom>
      </xdr:spPr>
    </xdr:pic>
    <xdr:clientData/>
  </xdr:twoCellAnchor>
  <xdr:twoCellAnchor editAs="oneCell">
    <xdr:from>
      <xdr:col>19</xdr:col>
      <xdr:colOff>723900</xdr:colOff>
      <xdr:row>18</xdr:row>
      <xdr:rowOff>127000</xdr:rowOff>
    </xdr:from>
    <xdr:to>
      <xdr:col>25</xdr:col>
      <xdr:colOff>609600</xdr:colOff>
      <xdr:row>22</xdr:row>
      <xdr:rowOff>76200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70D5C36-ECB7-EC8D-BE87-93B10B6BD8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753300" y="3784600"/>
          <a:ext cx="4838700" cy="762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774700</xdr:colOff>
      <xdr:row>23</xdr:row>
      <xdr:rowOff>12700</xdr:rowOff>
    </xdr:from>
    <xdr:to>
      <xdr:col>25</xdr:col>
      <xdr:colOff>673100</xdr:colOff>
      <xdr:row>28</xdr:row>
      <xdr:rowOff>50800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794C357-828B-4C0F-4E3A-E28C0A2206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2804100" y="4686300"/>
          <a:ext cx="4851400" cy="1054100"/>
        </a:xfrm>
        <a:prstGeom prst="rect">
          <a:avLst/>
        </a:prstGeom>
      </xdr:spPr>
    </xdr:pic>
    <xdr:clientData/>
  </xdr:twoCellAnchor>
  <xdr:twoCellAnchor editAs="oneCell">
    <xdr:from>
      <xdr:col>20</xdr:col>
      <xdr:colOff>127000</xdr:colOff>
      <xdr:row>29</xdr:row>
      <xdr:rowOff>101600</xdr:rowOff>
    </xdr:from>
    <xdr:to>
      <xdr:col>28</xdr:col>
      <xdr:colOff>444500</xdr:colOff>
      <xdr:row>38</xdr:row>
      <xdr:rowOff>101600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10B22054-A60B-8677-DCFD-CF1A0C25C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2981900" y="5994400"/>
          <a:ext cx="6921500" cy="1854200"/>
        </a:xfrm>
        <a:prstGeom prst="rect">
          <a:avLst/>
        </a:prstGeom>
      </xdr:spPr>
    </xdr:pic>
    <xdr:clientData/>
  </xdr:twoCellAnchor>
  <xdr:twoCellAnchor>
    <xdr:from>
      <xdr:col>4</xdr:col>
      <xdr:colOff>228600</xdr:colOff>
      <xdr:row>35</xdr:row>
      <xdr:rowOff>177800</xdr:rowOff>
    </xdr:from>
    <xdr:to>
      <xdr:col>7</xdr:col>
      <xdr:colOff>1079500</xdr:colOff>
      <xdr:row>58</xdr:row>
      <xdr:rowOff>177800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63D7D5BB-39B3-B8C9-3ACD-7E1869E92E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Macro1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C3F99-ABC3-004C-9DF8-C1EA3E3832D1}">
  <sheetPr codeName="Sheet1"/>
  <dimension ref="A1:G111"/>
  <sheetViews>
    <sheetView topLeftCell="A39" workbookViewId="0">
      <pane ySplit="18" topLeftCell="A106" activePane="bottomLeft" state="frozen"/>
      <selection activeCell="A39" sqref="A39"/>
      <selection pane="bottomLeft" activeCell="C108" sqref="C108"/>
    </sheetView>
  </sheetViews>
  <sheetFormatPr baseColWidth="10" defaultRowHeight="16" x14ac:dyDescent="0.2"/>
  <cols>
    <col min="1" max="1" width="24.5" customWidth="1"/>
    <col min="2" max="2" width="16.83203125" customWidth="1"/>
    <col min="3" max="3" width="15" customWidth="1"/>
    <col min="4" max="4" width="16" customWidth="1"/>
    <col min="5" max="5" width="19.33203125" customWidth="1"/>
    <col min="6" max="6" width="17.6640625" customWidth="1"/>
    <col min="7" max="7" width="126.1640625" style="2" customWidth="1"/>
  </cols>
  <sheetData>
    <row r="1" spans="1:7" ht="17" thickBot="1" x14ac:dyDescent="0.25">
      <c r="A1" s="8" t="s">
        <v>76</v>
      </c>
    </row>
    <row r="2" spans="1:7" ht="17" thickTop="1" x14ac:dyDescent="0.2">
      <c r="A2" t="s">
        <v>13</v>
      </c>
      <c r="B2" t="s">
        <v>14</v>
      </c>
      <c r="G2" s="3" t="s">
        <v>7</v>
      </c>
    </row>
    <row r="3" spans="1:7" x14ac:dyDescent="0.2">
      <c r="A3" s="1">
        <v>1</v>
      </c>
      <c r="B3" s="1">
        <v>4</v>
      </c>
      <c r="G3" s="4" t="s">
        <v>8</v>
      </c>
    </row>
    <row r="4" spans="1:7" x14ac:dyDescent="0.2">
      <c r="A4" s="1">
        <v>2</v>
      </c>
      <c r="B4" s="1">
        <v>5</v>
      </c>
      <c r="G4" s="4" t="s">
        <v>9</v>
      </c>
    </row>
    <row r="5" spans="1:7" x14ac:dyDescent="0.2">
      <c r="A5" s="1">
        <v>3</v>
      </c>
      <c r="B5" s="1">
        <v>6</v>
      </c>
      <c r="G5" s="4" t="s">
        <v>10</v>
      </c>
    </row>
    <row r="6" spans="1:7" x14ac:dyDescent="0.2">
      <c r="G6" s="4" t="s">
        <v>11</v>
      </c>
    </row>
    <row r="7" spans="1:7" x14ac:dyDescent="0.2">
      <c r="A7" t="s">
        <v>15</v>
      </c>
      <c r="B7" t="s">
        <v>16</v>
      </c>
      <c r="G7" s="4" t="s">
        <v>12</v>
      </c>
    </row>
    <row r="8" spans="1:7" x14ac:dyDescent="0.2">
      <c r="A8" s="1"/>
      <c r="B8" s="1"/>
      <c r="G8" s="4"/>
    </row>
    <row r="9" spans="1:7" x14ac:dyDescent="0.2">
      <c r="A9" s="1"/>
      <c r="B9" s="1"/>
      <c r="G9" s="4"/>
    </row>
    <row r="10" spans="1:7" ht="19" x14ac:dyDescent="0.25">
      <c r="A10" s="1"/>
      <c r="B10" s="1"/>
      <c r="G10" s="5" t="s">
        <v>33</v>
      </c>
    </row>
    <row r="11" spans="1:7" ht="19" x14ac:dyDescent="0.25">
      <c r="G11" s="5" t="s">
        <v>34</v>
      </c>
    </row>
    <row r="12" spans="1:7" ht="19" x14ac:dyDescent="0.25">
      <c r="A12" t="s">
        <v>17</v>
      </c>
      <c r="B12" t="s">
        <v>18</v>
      </c>
      <c r="G12" s="6" t="s">
        <v>35</v>
      </c>
    </row>
    <row r="13" spans="1:7" ht="19" x14ac:dyDescent="0.25">
      <c r="A13" s="1"/>
      <c r="B13" s="1"/>
      <c r="G13" s="6" t="s">
        <v>36</v>
      </c>
    </row>
    <row r="14" spans="1:7" ht="19" x14ac:dyDescent="0.25">
      <c r="A14" s="1"/>
      <c r="B14" s="1"/>
      <c r="G14" s="6" t="s">
        <v>37</v>
      </c>
    </row>
    <row r="15" spans="1:7" ht="19" x14ac:dyDescent="0.25">
      <c r="A15" s="1"/>
      <c r="B15" s="1"/>
      <c r="G15" s="6" t="s">
        <v>38</v>
      </c>
    </row>
    <row r="16" spans="1:7" ht="19" x14ac:dyDescent="0.25">
      <c r="G16" s="6" t="s">
        <v>39</v>
      </c>
    </row>
    <row r="17" spans="7:7" x14ac:dyDescent="0.2">
      <c r="G17" s="4"/>
    </row>
    <row r="18" spans="7:7" ht="19" x14ac:dyDescent="0.25">
      <c r="G18" s="5" t="s">
        <v>40</v>
      </c>
    </row>
    <row r="19" spans="7:7" ht="19" x14ac:dyDescent="0.25">
      <c r="G19" s="5" t="s">
        <v>41</v>
      </c>
    </row>
    <row r="20" spans="7:7" ht="19" x14ac:dyDescent="0.25">
      <c r="G20" s="5" t="s">
        <v>42</v>
      </c>
    </row>
    <row r="21" spans="7:7" ht="19" x14ac:dyDescent="0.25">
      <c r="G21" s="5" t="s">
        <v>3</v>
      </c>
    </row>
    <row r="22" spans="7:7" ht="19" x14ac:dyDescent="0.25">
      <c r="G22" s="5" t="s">
        <v>43</v>
      </c>
    </row>
    <row r="23" spans="7:7" ht="19" x14ac:dyDescent="0.25">
      <c r="G23" s="5" t="s">
        <v>4</v>
      </c>
    </row>
    <row r="24" spans="7:7" ht="19" x14ac:dyDescent="0.25">
      <c r="G24" s="5" t="s">
        <v>44</v>
      </c>
    </row>
    <row r="25" spans="7:7" ht="19" x14ac:dyDescent="0.25">
      <c r="G25" s="5" t="s">
        <v>5</v>
      </c>
    </row>
    <row r="26" spans="7:7" ht="19" x14ac:dyDescent="0.25">
      <c r="G26" s="5" t="s">
        <v>45</v>
      </c>
    </row>
    <row r="27" spans="7:7" ht="19" x14ac:dyDescent="0.25">
      <c r="G27" s="5" t="s">
        <v>46</v>
      </c>
    </row>
    <row r="28" spans="7:7" ht="19" x14ac:dyDescent="0.25">
      <c r="G28" s="6" t="s">
        <v>35</v>
      </c>
    </row>
    <row r="29" spans="7:7" ht="19" x14ac:dyDescent="0.25">
      <c r="G29" s="6" t="s">
        <v>36</v>
      </c>
    </row>
    <row r="30" spans="7:7" ht="19" x14ac:dyDescent="0.25">
      <c r="G30" s="6" t="s">
        <v>47</v>
      </c>
    </row>
    <row r="31" spans="7:7" ht="19" x14ac:dyDescent="0.25">
      <c r="G31" s="6" t="s">
        <v>48</v>
      </c>
    </row>
    <row r="32" spans="7:7" ht="19" x14ac:dyDescent="0.25">
      <c r="G32" s="6" t="s">
        <v>39</v>
      </c>
    </row>
    <row r="33" spans="1:7" x14ac:dyDescent="0.2">
      <c r="G33" s="4"/>
    </row>
    <row r="34" spans="1:7" ht="19" x14ac:dyDescent="0.25">
      <c r="G34" s="5" t="s">
        <v>0</v>
      </c>
    </row>
    <row r="35" spans="1:7" ht="19" x14ac:dyDescent="0.25">
      <c r="G35" s="5" t="s">
        <v>1</v>
      </c>
    </row>
    <row r="36" spans="1:7" ht="19" x14ac:dyDescent="0.25">
      <c r="G36" s="5" t="s">
        <v>2</v>
      </c>
    </row>
    <row r="37" spans="1:7" x14ac:dyDescent="0.2">
      <c r="G37" s="4"/>
    </row>
    <row r="38" spans="1:7" x14ac:dyDescent="0.2">
      <c r="G38" s="4"/>
    </row>
    <row r="39" spans="1:7" x14ac:dyDescent="0.2">
      <c r="G39" s="4" t="s">
        <v>69</v>
      </c>
    </row>
    <row r="40" spans="1:7" x14ac:dyDescent="0.2">
      <c r="A40" s="8" t="s">
        <v>77</v>
      </c>
      <c r="G40" s="4"/>
    </row>
    <row r="41" spans="1:7" ht="17" thickBot="1" x14ac:dyDescent="0.25">
      <c r="A41" s="10" t="s">
        <v>68</v>
      </c>
      <c r="G41" s="4"/>
    </row>
    <row r="42" spans="1:7" ht="20" thickTop="1" x14ac:dyDescent="0.25">
      <c r="A42" s="11" t="s">
        <v>67</v>
      </c>
      <c r="B42" s="12" t="s">
        <v>72</v>
      </c>
      <c r="C42" s="12"/>
      <c r="D42" s="13"/>
      <c r="G42" s="5" t="s">
        <v>49</v>
      </c>
    </row>
    <row r="43" spans="1:7" ht="19" x14ac:dyDescent="0.25">
      <c r="A43" s="14" cm="1">
        <f t="array" ref="A43:A45">A3:A5</f>
        <v>1</v>
      </c>
      <c r="B43" s="9" cm="1">
        <f t="array" ref="B43:B45">B3:B5</f>
        <v>4</v>
      </c>
      <c r="C43" s="2"/>
      <c r="D43" s="15"/>
      <c r="F43" s="1"/>
      <c r="G43" s="5" t="s">
        <v>50</v>
      </c>
    </row>
    <row r="44" spans="1:7" ht="19" x14ac:dyDescent="0.25">
      <c r="A44" s="14">
        <v>2</v>
      </c>
      <c r="B44" s="9">
        <v>5</v>
      </c>
      <c r="C44" s="2"/>
      <c r="D44" s="15"/>
      <c r="F44" s="1"/>
      <c r="G44" s="6" t="s">
        <v>51</v>
      </c>
    </row>
    <row r="45" spans="1:7" ht="19" x14ac:dyDescent="0.25">
      <c r="A45" s="14">
        <v>3</v>
      </c>
      <c r="B45" s="9">
        <v>6</v>
      </c>
      <c r="C45" s="2"/>
      <c r="D45" s="15"/>
      <c r="F45" s="1"/>
      <c r="G45" s="6" t="s">
        <v>36</v>
      </c>
    </row>
    <row r="46" spans="1:7" ht="19" x14ac:dyDescent="0.25">
      <c r="A46" s="16"/>
      <c r="B46" s="9">
        <v>7</v>
      </c>
      <c r="C46" s="2"/>
      <c r="D46" s="15"/>
      <c r="G46" s="6" t="s">
        <v>52</v>
      </c>
    </row>
    <row r="47" spans="1:7" ht="19" x14ac:dyDescent="0.25">
      <c r="A47" s="16" t="s">
        <v>28</v>
      </c>
      <c r="B47" s="2" t="s">
        <v>29</v>
      </c>
      <c r="C47" s="2" t="s">
        <v>30</v>
      </c>
      <c r="D47" s="15" t="s">
        <v>31</v>
      </c>
      <c r="E47" s="20"/>
      <c r="G47" s="6" t="s">
        <v>53</v>
      </c>
    </row>
    <row r="48" spans="1:7" ht="19" x14ac:dyDescent="0.25">
      <c r="A48" s="16">
        <v>0.9</v>
      </c>
      <c r="B48" s="2" t="b">
        <v>1</v>
      </c>
      <c r="C48" s="1" t="s">
        <v>78</v>
      </c>
      <c r="D48" s="21">
        <v>0.39999999999999991</v>
      </c>
      <c r="G48" s="6" t="s">
        <v>54</v>
      </c>
    </row>
    <row r="49" spans="1:7" x14ac:dyDescent="0.2">
      <c r="A49" s="16"/>
      <c r="B49" s="2"/>
      <c r="C49" s="1"/>
      <c r="D49" s="21">
        <v>0.49999999999999989</v>
      </c>
      <c r="G49" s="4"/>
    </row>
    <row r="50" spans="1:7" ht="19" x14ac:dyDescent="0.25">
      <c r="A50" s="16"/>
      <c r="B50" s="2"/>
      <c r="C50" s="1"/>
      <c r="D50" s="21">
        <v>0.59999999999999987</v>
      </c>
      <c r="G50" s="5" t="s">
        <v>0</v>
      </c>
    </row>
    <row r="51" spans="1:7" ht="19" x14ac:dyDescent="0.25">
      <c r="A51" s="16"/>
      <c r="B51" s="2"/>
      <c r="C51" s="2"/>
      <c r="D51" s="22">
        <v>0.69999999999999984</v>
      </c>
      <c r="G51" s="5" t="s">
        <v>19</v>
      </c>
    </row>
    <row r="52" spans="1:7" ht="19" x14ac:dyDescent="0.25">
      <c r="A52" s="16"/>
      <c r="B52" s="2"/>
      <c r="C52" s="2"/>
      <c r="D52" s="15"/>
      <c r="G52" s="5" t="s">
        <v>20</v>
      </c>
    </row>
    <row r="53" spans="1:7" ht="19" x14ac:dyDescent="0.25">
      <c r="A53" s="16"/>
      <c r="B53" s="2"/>
      <c r="C53" s="2"/>
      <c r="D53" s="15"/>
      <c r="G53" s="5" t="s">
        <v>21</v>
      </c>
    </row>
    <row r="54" spans="1:7" ht="19" x14ac:dyDescent="0.25">
      <c r="A54" s="16"/>
      <c r="B54" s="2"/>
      <c r="C54" s="2"/>
      <c r="D54" s="15"/>
      <c r="G54" s="5" t="s">
        <v>22</v>
      </c>
    </row>
    <row r="55" spans="1:7" ht="19" x14ac:dyDescent="0.25">
      <c r="A55" s="16"/>
      <c r="B55" s="2"/>
      <c r="C55" s="2"/>
      <c r="D55" s="15"/>
      <c r="G55" s="5" t="s">
        <v>23</v>
      </c>
    </row>
    <row r="56" spans="1:7" ht="20" thickBot="1" x14ac:dyDescent="0.3">
      <c r="A56" s="17"/>
      <c r="B56" s="18"/>
      <c r="C56" s="18"/>
      <c r="D56" s="19"/>
      <c r="G56" s="5" t="s">
        <v>26</v>
      </c>
    </row>
    <row r="57" spans="1:7" ht="20" thickTop="1" x14ac:dyDescent="0.25">
      <c r="G57" s="5" t="s">
        <v>27</v>
      </c>
    </row>
    <row r="58" spans="1:7" ht="19" x14ac:dyDescent="0.25">
      <c r="G58" s="5" t="s">
        <v>25</v>
      </c>
    </row>
    <row r="59" spans="1:7" ht="19" x14ac:dyDescent="0.25">
      <c r="G59" s="5" t="s">
        <v>45</v>
      </c>
    </row>
    <row r="60" spans="1:7" ht="19" x14ac:dyDescent="0.25">
      <c r="C60" t="s">
        <v>73</v>
      </c>
      <c r="D60" t="s">
        <v>73</v>
      </c>
      <c r="G60" s="5" t="s">
        <v>55</v>
      </c>
    </row>
    <row r="61" spans="1:7" ht="19" x14ac:dyDescent="0.25">
      <c r="A61" t="s">
        <v>30</v>
      </c>
      <c r="C61" t="s">
        <v>70</v>
      </c>
      <c r="D61" t="s">
        <v>71</v>
      </c>
      <c r="G61" s="6" t="s">
        <v>36</v>
      </c>
    </row>
    <row r="62" spans="1:7" ht="19" x14ac:dyDescent="0.25">
      <c r="A62" cm="1">
        <f t="array" aca="1" ref="A62:A64" ca="1">IF(C48="None",_xlfn.RANDARRAY(ROWS(p.grad),1,,,FALSE)*0, D48:D50)</f>
        <v>0.39999999999999991</v>
      </c>
      <c r="C62" cm="1">
        <f t="array" ref="C62:C65">_xlfn.LAMBDA(_xlpm.p,_xlpm.m,_xlpm.d,_xlpm.g,
IF(_xlpm.d=FALSE, _xlpm.p*_xlpm.m, _xlpm.p*0)
)(p.grad,A48,B48,C48)</f>
        <v>0</v>
      </c>
      <c r="D62" s="1" cm="1">
        <f t="array" ref="D62:D65">_xlfn.LAMBDA(_xlpm.p,_xlpm.m,_xlpm.d,_xlpm.g,_xlpm.s, IF(_xlpm.g="None",_xlpm.p*0,_xlpm.s))(p.grad,A48,B48,C48,grad_ini)</f>
        <v>0.39999999999999991</v>
      </c>
      <c r="G62" s="6" t="s">
        <v>56</v>
      </c>
    </row>
    <row r="63" spans="1:7" ht="19" x14ac:dyDescent="0.25">
      <c r="A63">
        <f ca="1"/>
        <v>0.49999999999999989</v>
      </c>
      <c r="C63">
        <v>0</v>
      </c>
      <c r="D63" s="1">
        <v>0.49999999999999989</v>
      </c>
      <c r="G63" s="6" t="s">
        <v>57</v>
      </c>
    </row>
    <row r="64" spans="1:7" ht="19" x14ac:dyDescent="0.25">
      <c r="A64">
        <f ca="1"/>
        <v>0.59999999999999987</v>
      </c>
      <c r="C64">
        <v>0</v>
      </c>
      <c r="D64" s="1">
        <v>0.59999999999999987</v>
      </c>
      <c r="G64" s="6" t="s">
        <v>54</v>
      </c>
    </row>
    <row r="65" spans="1:7" ht="19" x14ac:dyDescent="0.25">
      <c r="C65">
        <v>0</v>
      </c>
      <c r="D65">
        <v>0.69999999999999984</v>
      </c>
      <c r="G65" s="6" t="s">
        <v>58</v>
      </c>
    </row>
    <row r="66" spans="1:7" x14ac:dyDescent="0.2">
      <c r="G66" s="4"/>
    </row>
    <row r="67" spans="1:7" ht="19" x14ac:dyDescent="0.25">
      <c r="G67" s="5" t="s">
        <v>0</v>
      </c>
    </row>
    <row r="68" spans="1:7" ht="19" x14ac:dyDescent="0.25">
      <c r="G68" s="5" t="s">
        <v>19</v>
      </c>
    </row>
    <row r="69" spans="1:7" ht="19" x14ac:dyDescent="0.25">
      <c r="G69" s="5" t="s">
        <v>20</v>
      </c>
    </row>
    <row r="70" spans="1:7" ht="19" x14ac:dyDescent="0.25">
      <c r="G70" s="5" t="s">
        <v>21</v>
      </c>
    </row>
    <row r="71" spans="1:7" ht="19" x14ac:dyDescent="0.25">
      <c r="G71" s="5" t="s">
        <v>59</v>
      </c>
    </row>
    <row r="72" spans="1:7" ht="19" x14ac:dyDescent="0.25">
      <c r="G72" s="5" t="s">
        <v>23</v>
      </c>
    </row>
    <row r="73" spans="1:7" ht="19" x14ac:dyDescent="0.25">
      <c r="G73" s="5" t="s">
        <v>60</v>
      </c>
    </row>
    <row r="74" spans="1:7" ht="19" x14ac:dyDescent="0.25">
      <c r="G74" s="5" t="s">
        <v>61</v>
      </c>
    </row>
    <row r="75" spans="1:7" ht="19" x14ac:dyDescent="0.25">
      <c r="G75" s="5" t="s">
        <v>45</v>
      </c>
    </row>
    <row r="76" spans="1:7" ht="19" x14ac:dyDescent="0.25">
      <c r="G76" s="5" t="s">
        <v>62</v>
      </c>
    </row>
    <row r="77" spans="1:7" ht="19" x14ac:dyDescent="0.25">
      <c r="C77" t="s">
        <v>73</v>
      </c>
      <c r="G77" s="6" t="s">
        <v>56</v>
      </c>
    </row>
    <row r="78" spans="1:7" ht="19" x14ac:dyDescent="0.25">
      <c r="A78" s="1" t="s">
        <v>32</v>
      </c>
      <c r="C78" t="s">
        <v>74</v>
      </c>
      <c r="G78" s="6" t="s">
        <v>53</v>
      </c>
    </row>
    <row r="79" spans="1:7" ht="19" x14ac:dyDescent="0.25">
      <c r="A79" s="1">
        <f>IF(B48=TRUE, 1-A48, 1)</f>
        <v>9.9999999999999978E-2</v>
      </c>
      <c r="C79" s="1" cm="1">
        <f t="array" ref="C79:C82">_xlfn.LAMBDA(_xlpm.p,_xlpm.m,_xlpm.d,_xlpm.g,_xlpm.s, _xlfn.LET(_xlpm.damp, IF(_xlpm.d=TRUE,1-_xlpm.m,1),IF(_xlpm.g="None",_xlpm.p*0,_xlpm.s)))(p.grad,A48,B48,C48,grad_ini)</f>
        <v>0.39999999999999991</v>
      </c>
      <c r="G79" s="6" t="s">
        <v>63</v>
      </c>
    </row>
    <row r="80" spans="1:7" ht="19" x14ac:dyDescent="0.25">
      <c r="A80" s="1"/>
      <c r="C80" s="1">
        <v>0.49999999999999989</v>
      </c>
      <c r="G80" s="6" t="s">
        <v>58</v>
      </c>
    </row>
    <row r="81" spans="3:7" ht="19" x14ac:dyDescent="0.25">
      <c r="C81" s="1">
        <v>0.59999999999999987</v>
      </c>
      <c r="G81" s="6">
        <v>8</v>
      </c>
    </row>
    <row r="82" spans="3:7" x14ac:dyDescent="0.2">
      <c r="C82">
        <v>0.69999999999999984</v>
      </c>
      <c r="G82" s="4"/>
    </row>
    <row r="83" spans="3:7" ht="19" x14ac:dyDescent="0.25">
      <c r="G83" s="5" t="s">
        <v>0</v>
      </c>
    </row>
    <row r="84" spans="3:7" ht="19" x14ac:dyDescent="0.25">
      <c r="G84" s="5" t="s">
        <v>19</v>
      </c>
    </row>
    <row r="85" spans="3:7" ht="19" x14ac:dyDescent="0.25">
      <c r="G85" s="5" t="s">
        <v>20</v>
      </c>
    </row>
    <row r="86" spans="3:7" ht="19" x14ac:dyDescent="0.25">
      <c r="G86" s="5" t="s">
        <v>21</v>
      </c>
    </row>
    <row r="87" spans="3:7" ht="19" x14ac:dyDescent="0.25">
      <c r="G87" s="5" t="s">
        <v>59</v>
      </c>
    </row>
    <row r="88" spans="3:7" ht="19" x14ac:dyDescent="0.25">
      <c r="G88" s="5" t="s">
        <v>23</v>
      </c>
    </row>
    <row r="89" spans="3:7" ht="19" x14ac:dyDescent="0.25">
      <c r="G89" s="5"/>
    </row>
    <row r="90" spans="3:7" ht="19" x14ac:dyDescent="0.25">
      <c r="G90" s="5"/>
    </row>
    <row r="91" spans="3:7" ht="19" x14ac:dyDescent="0.25">
      <c r="G91" s="5" t="s">
        <v>24</v>
      </c>
    </row>
    <row r="92" spans="3:7" ht="19" x14ac:dyDescent="0.25">
      <c r="G92" s="5" t="s">
        <v>6</v>
      </c>
    </row>
    <row r="93" spans="3:7" ht="19" x14ac:dyDescent="0.25">
      <c r="G93" s="5" t="s">
        <v>64</v>
      </c>
    </row>
    <row r="94" spans="3:7" ht="19" x14ac:dyDescent="0.25">
      <c r="G94" s="5">
        <v>1</v>
      </c>
    </row>
    <row r="95" spans="3:7" ht="19" x14ac:dyDescent="0.25">
      <c r="G95" s="5"/>
    </row>
    <row r="96" spans="3:7" ht="19" x14ac:dyDescent="0.25">
      <c r="G96" s="5"/>
    </row>
    <row r="97" spans="1:7" ht="19" x14ac:dyDescent="0.25">
      <c r="G97" s="5"/>
    </row>
    <row r="98" spans="1:7" ht="19" x14ac:dyDescent="0.25">
      <c r="G98" s="5"/>
    </row>
    <row r="99" spans="1:7" ht="19" x14ac:dyDescent="0.25">
      <c r="G99" s="5" t="s">
        <v>65</v>
      </c>
    </row>
    <row r="100" spans="1:7" ht="19" x14ac:dyDescent="0.25">
      <c r="G100" s="5" t="s">
        <v>66</v>
      </c>
    </row>
    <row r="101" spans="1:7" x14ac:dyDescent="0.2">
      <c r="C101" t="s">
        <v>73</v>
      </c>
      <c r="G101" s="4"/>
    </row>
    <row r="102" spans="1:7" ht="17" thickBot="1" x14ac:dyDescent="0.25">
      <c r="A102" t="s">
        <v>30</v>
      </c>
      <c r="C102" t="s">
        <v>75</v>
      </c>
      <c r="G102" s="7"/>
    </row>
    <row r="103" spans="1:7" ht="17" thickTop="1" x14ac:dyDescent="0.2">
      <c r="A103" s="1" cm="1">
        <f t="array" aca="1" ref="A103:A105" ca="1">_xlfn.ANCHORARRAY(A62)*A48+_xlfn.ANCHORARRAY(B43)*A79</f>
        <v>0.75999999999999979</v>
      </c>
      <c r="C103" s="1" cm="1">
        <f t="array" ref="C103:C106">_xlfn.LAMBDA(_xlpm.p,_xlpm.m,_xlpm.d,_xlpm.g,_xlpm.s, _xlfn.LET(_xlpm.damp, IF(_xlpm.d=TRUE,1-_xlpm.m,1), _xlpm.grad, IF(_xlpm.g="None",_xlpm.p*0,_xlpm.s), _xlpm.grad*_xlpm.m+_xlpm.p*_xlpm.damp))(p.grad,A48,B48,C48,grad_ini)</f>
        <v>0.75999999999999979</v>
      </c>
    </row>
    <row r="104" spans="1:7" x14ac:dyDescent="0.2">
      <c r="A104" s="1">
        <f ca="1"/>
        <v>0.94999999999999973</v>
      </c>
      <c r="C104" s="1">
        <v>0.94999999999999973</v>
      </c>
    </row>
    <row r="105" spans="1:7" x14ac:dyDescent="0.2">
      <c r="A105" s="1">
        <f ca="1"/>
        <v>1.1399999999999997</v>
      </c>
      <c r="C105" s="1">
        <v>1.1399999999999997</v>
      </c>
    </row>
    <row r="106" spans="1:7" x14ac:dyDescent="0.2">
      <c r="C106" s="1">
        <v>1.3299999999999996</v>
      </c>
    </row>
    <row r="107" spans="1:7" x14ac:dyDescent="0.2">
      <c r="C107" t="s">
        <v>79</v>
      </c>
    </row>
    <row r="108" spans="1:7" x14ac:dyDescent="0.2">
      <c r="C108" s="1" cm="1">
        <f t="array" ref="C108:C111">average_grad(p.grad,A48,B48,C48,grad_ini)</f>
        <v>0.75999999999999979</v>
      </c>
    </row>
    <row r="109" spans="1:7" x14ac:dyDescent="0.2">
      <c r="C109" s="1">
        <v>0.94999999999999973</v>
      </c>
    </row>
    <row r="110" spans="1:7" x14ac:dyDescent="0.2">
      <c r="C110" s="1">
        <v>1.1399999999999997</v>
      </c>
    </row>
    <row r="111" spans="1:7" x14ac:dyDescent="0.2">
      <c r="C111" s="1">
        <v>1.3299999999999996</v>
      </c>
    </row>
  </sheetData>
  <dataValidations disablePrompts="1" count="2">
    <dataValidation type="list" allowBlank="1" showInputMessage="1" showErrorMessage="1" sqref="C48" xr:uid="{384B88E2-ED2B-E145-B60D-341A93ABCF0B}">
      <formula1>"None, Check State"</formula1>
    </dataValidation>
    <dataValidation type="list" allowBlank="1" showInputMessage="1" showErrorMessage="1" sqref="B48" xr:uid="{AE4AD949-C312-1549-822D-8D313579D6E2}">
      <formula1>"TRUE,FALSE"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3" name="Button 9">
              <controlPr defaultSize="0" print="0" autoFill="0" autoPict="0" macro="[1]!Macro1" altText="copy">
                <anchor moveWithCells="1" sizeWithCells="1">
                  <from>
                    <xdr:col>3</xdr:col>
                    <xdr:colOff>88900</xdr:colOff>
                    <xdr:row>45</xdr:row>
                    <xdr:rowOff>38100</xdr:rowOff>
                  </from>
                  <to>
                    <xdr:col>3</xdr:col>
                    <xdr:colOff>1104900</xdr:colOff>
                    <xdr:row>46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82EAE-325B-F647-A9D6-A7ABF759103B}">
  <sheetPr codeName="Sheet2"/>
  <dimension ref="A1:L27"/>
  <sheetViews>
    <sheetView workbookViewId="0">
      <selection activeCell="K13" sqref="K13"/>
    </sheetView>
  </sheetViews>
  <sheetFormatPr baseColWidth="10" defaultRowHeight="16" x14ac:dyDescent="0.2"/>
  <cols>
    <col min="1" max="1" width="24.33203125" customWidth="1"/>
    <col min="2" max="2" width="13.83203125" customWidth="1"/>
    <col min="3" max="3" width="16.1640625" customWidth="1"/>
    <col min="4" max="4" width="19" customWidth="1"/>
  </cols>
  <sheetData>
    <row r="1" spans="1:12" x14ac:dyDescent="0.2">
      <c r="L1" t="s">
        <v>88</v>
      </c>
    </row>
    <row r="2" spans="1:12" x14ac:dyDescent="0.2">
      <c r="L2" t="s">
        <v>87</v>
      </c>
    </row>
    <row r="3" spans="1:12" x14ac:dyDescent="0.2">
      <c r="L3" t="s">
        <v>86</v>
      </c>
    </row>
    <row r="4" spans="1:12" x14ac:dyDescent="0.2">
      <c r="A4" s="8" t="s">
        <v>77</v>
      </c>
    </row>
    <row r="5" spans="1:12" ht="17" thickBot="1" x14ac:dyDescent="0.25">
      <c r="A5" s="10" t="s">
        <v>68</v>
      </c>
    </row>
    <row r="6" spans="1:12" ht="17" thickTop="1" x14ac:dyDescent="0.2">
      <c r="A6" s="11" t="s">
        <v>67</v>
      </c>
      <c r="B6" s="12" t="s">
        <v>72</v>
      </c>
      <c r="C6" s="12" t="s">
        <v>85</v>
      </c>
      <c r="D6" s="13"/>
    </row>
    <row r="7" spans="1:12" x14ac:dyDescent="0.2">
      <c r="A7" s="14">
        <v>1</v>
      </c>
      <c r="B7" s="1">
        <v>4</v>
      </c>
      <c r="C7">
        <v>1E-3</v>
      </c>
      <c r="D7" s="15"/>
    </row>
    <row r="8" spans="1:12" x14ac:dyDescent="0.2">
      <c r="A8" s="14">
        <v>2</v>
      </c>
      <c r="B8" s="1">
        <v>5</v>
      </c>
      <c r="D8" s="15"/>
    </row>
    <row r="9" spans="1:12" x14ac:dyDescent="0.2">
      <c r="A9" s="14">
        <v>3</v>
      </c>
      <c r="B9" s="1">
        <v>6</v>
      </c>
      <c r="D9" s="15"/>
    </row>
    <row r="10" spans="1:12" x14ac:dyDescent="0.2">
      <c r="A10" s="16">
        <v>4</v>
      </c>
      <c r="B10" s="1">
        <v>7</v>
      </c>
      <c r="D10" s="15"/>
    </row>
    <row r="11" spans="1:12" x14ac:dyDescent="0.2">
      <c r="A11" s="16" t="s">
        <v>28</v>
      </c>
      <c r="B11" t="s">
        <v>29</v>
      </c>
      <c r="C11" t="s">
        <v>30</v>
      </c>
      <c r="D11" s="15" t="s">
        <v>31</v>
      </c>
    </row>
    <row r="12" spans="1:12" x14ac:dyDescent="0.2">
      <c r="A12" s="16">
        <v>0.9</v>
      </c>
      <c r="B12" t="b">
        <v>0</v>
      </c>
      <c r="C12" s="1" t="s">
        <v>84</v>
      </c>
      <c r="D12" s="21">
        <v>0.39999999999999991</v>
      </c>
    </row>
    <row r="13" spans="1:12" x14ac:dyDescent="0.2">
      <c r="A13" s="16"/>
      <c r="C13" s="1"/>
      <c r="D13" s="21">
        <v>0.49999999999999989</v>
      </c>
    </row>
    <row r="14" spans="1:12" x14ac:dyDescent="0.2">
      <c r="A14" s="16"/>
      <c r="C14" s="1"/>
      <c r="D14" s="21">
        <v>0.59999999999999987</v>
      </c>
    </row>
    <row r="15" spans="1:12" x14ac:dyDescent="0.2">
      <c r="A15" s="16"/>
      <c r="D15" s="22">
        <v>0.69999999999999984</v>
      </c>
    </row>
    <row r="16" spans="1:12" x14ac:dyDescent="0.2">
      <c r="A16" t="s">
        <v>83</v>
      </c>
    </row>
    <row r="17" spans="1:3" x14ac:dyDescent="0.2">
      <c r="A17" cm="1">
        <f t="array" ref="A17:A20">average_grad(B7:B10,A12,B12,C12,D12:D15)</f>
        <v>4</v>
      </c>
    </row>
    <row r="18" spans="1:3" x14ac:dyDescent="0.2">
      <c r="A18">
        <v>5</v>
      </c>
    </row>
    <row r="19" spans="1:3" x14ac:dyDescent="0.2">
      <c r="A19">
        <v>6</v>
      </c>
    </row>
    <row r="20" spans="1:3" x14ac:dyDescent="0.2">
      <c r="A20">
        <v>7</v>
      </c>
    </row>
    <row r="22" spans="1:3" x14ac:dyDescent="0.2">
      <c r="A22" t="s">
        <v>82</v>
      </c>
      <c r="C22" t="s">
        <v>81</v>
      </c>
    </row>
    <row r="23" spans="1:3" x14ac:dyDescent="0.2">
      <c r="A23" t="s">
        <v>80</v>
      </c>
      <c r="C23" t="s">
        <v>80</v>
      </c>
    </row>
    <row r="24" spans="1:3" x14ac:dyDescent="0.2">
      <c r="A24" cm="1">
        <f t="array" ref="A24:A27">_xlfn.LAMBDA(_xlpm.p_data,_xlpm.lr,_xlpm.grad, _xlpm.p_data-_xlpm.lr*_xlpm.grad)(A7:A10,C7,_xlfn.ANCHORARRAY(A17))</f>
        <v>0.996</v>
      </c>
      <c r="C24" cm="1">
        <f t="array" ref="C24:C27">momentum_step(A7:A10,C7,_xlfn.ANCHORARRAY(A17))</f>
        <v>0.996</v>
      </c>
    </row>
    <row r="25" spans="1:3" x14ac:dyDescent="0.2">
      <c r="A25">
        <v>1.9950000000000001</v>
      </c>
      <c r="C25">
        <v>1.9950000000000001</v>
      </c>
    </row>
    <row r="26" spans="1:3" x14ac:dyDescent="0.2">
      <c r="A26">
        <v>2.9940000000000002</v>
      </c>
      <c r="C26">
        <v>2.9940000000000002</v>
      </c>
    </row>
    <row r="27" spans="1:3" x14ac:dyDescent="0.2">
      <c r="A27">
        <v>3.9929999999999999</v>
      </c>
      <c r="C27">
        <v>3.9929999999999999</v>
      </c>
    </row>
  </sheetData>
  <dataValidations count="2">
    <dataValidation type="list" allowBlank="1" showInputMessage="1" showErrorMessage="1" sqref="C12" xr:uid="{ED0D9DB8-3B96-CA40-A897-A213788E3B10}">
      <formula1>"None, Check State"</formula1>
    </dataValidation>
    <dataValidation type="list" allowBlank="1" showInputMessage="1" showErrorMessage="1" sqref="B12" xr:uid="{4E9AF067-E559-0345-BA68-6ED6DB7DE893}">
      <formula1>"TRUE,FALSE"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C66826-8867-8344-B7F3-2E7615EAA5E4}">
  <dimension ref="A1:U53"/>
  <sheetViews>
    <sheetView tabSelected="1" workbookViewId="0">
      <selection activeCell="E18" sqref="E18"/>
    </sheetView>
  </sheetViews>
  <sheetFormatPr baseColWidth="10" defaultRowHeight="16" x14ac:dyDescent="0.2"/>
  <cols>
    <col min="1" max="2" width="18" customWidth="1"/>
    <col min="3" max="10" width="29.83203125" customWidth="1"/>
    <col min="11" max="11" width="31.83203125" customWidth="1"/>
    <col min="12" max="12" width="27" customWidth="1"/>
    <col min="13" max="13" width="21.83203125" customWidth="1"/>
  </cols>
  <sheetData>
    <row r="1" spans="1:21" x14ac:dyDescent="0.2">
      <c r="A1" s="24" t="s">
        <v>85</v>
      </c>
      <c r="B1" s="24"/>
      <c r="C1" s="24" t="s">
        <v>90</v>
      </c>
      <c r="D1" s="24"/>
      <c r="E1" s="24"/>
      <c r="F1" s="24"/>
      <c r="G1" s="24"/>
      <c r="H1" s="24"/>
      <c r="I1" s="24"/>
      <c r="J1" s="24"/>
      <c r="K1" s="24"/>
      <c r="L1" s="24"/>
      <c r="M1" s="24"/>
    </row>
    <row r="2" spans="1:21" x14ac:dyDescent="0.2">
      <c r="A2" s="24">
        <v>1</v>
      </c>
      <c r="B2" s="24"/>
      <c r="C2" s="24">
        <v>0.1</v>
      </c>
      <c r="D2" s="24"/>
      <c r="E2" s="24"/>
      <c r="F2" s="24"/>
      <c r="G2" s="24"/>
      <c r="H2" s="24"/>
      <c r="I2" s="24"/>
      <c r="J2" s="24"/>
      <c r="K2" s="24"/>
      <c r="L2" s="24"/>
      <c r="M2" s="24"/>
      <c r="U2" s="23" t="s">
        <v>93</v>
      </c>
    </row>
    <row r="3" spans="1:21" x14ac:dyDescent="0.2">
      <c r="A3" s="24"/>
      <c r="B3" s="24"/>
      <c r="C3" s="24"/>
      <c r="D3" s="24" t="s">
        <v>100</v>
      </c>
      <c r="E3" s="24" t="s">
        <v>101</v>
      </c>
      <c r="F3" s="24" t="s">
        <v>102</v>
      </c>
      <c r="G3" s="24" t="s">
        <v>104</v>
      </c>
      <c r="H3" s="24" t="s">
        <v>105</v>
      </c>
      <c r="I3" s="24"/>
      <c r="J3" s="24"/>
      <c r="K3" s="24"/>
      <c r="L3" s="24"/>
      <c r="M3" s="24"/>
    </row>
    <row r="4" spans="1:21" x14ac:dyDescent="0.2">
      <c r="A4" s="24" t="s">
        <v>89</v>
      </c>
      <c r="B4" s="24" t="s">
        <v>91</v>
      </c>
      <c r="C4" s="24" t="s">
        <v>92</v>
      </c>
      <c r="D4" s="25" t="s">
        <v>98</v>
      </c>
      <c r="E4" s="25" t="s">
        <v>99</v>
      </c>
      <c r="F4" s="25" t="s">
        <v>103</v>
      </c>
      <c r="G4" s="25" t="s">
        <v>99</v>
      </c>
      <c r="H4" s="25" t="s">
        <v>103</v>
      </c>
      <c r="I4" s="25" t="s">
        <v>108</v>
      </c>
      <c r="J4" s="25" t="s">
        <v>106</v>
      </c>
      <c r="K4" s="25" t="s">
        <v>107</v>
      </c>
      <c r="L4" s="24" t="s">
        <v>96</v>
      </c>
      <c r="M4" s="24" t="s">
        <v>97</v>
      </c>
    </row>
    <row r="5" spans="1:21" x14ac:dyDescent="0.2">
      <c r="A5" s="24">
        <v>0.1</v>
      </c>
      <c r="B5" s="24">
        <f>SIN(A5)/2</f>
        <v>4.9916708323414077E-2</v>
      </c>
      <c r="C5" s="24">
        <f>SIN(A5)*5</f>
        <v>0.49916708323414077</v>
      </c>
      <c r="D5" s="24">
        <f>C5-$A$2*B5</f>
        <v>0.44925037491072672</v>
      </c>
      <c r="E5" s="24">
        <f>L5-$A$2*B5</f>
        <v>0.39933366658731262</v>
      </c>
      <c r="F5" s="24">
        <f>C5-$A$2*M5</f>
        <v>0.39933366658731262</v>
      </c>
      <c r="G5" s="24">
        <f>L5-$A$2*J5</f>
        <v>0.39925870407838532</v>
      </c>
      <c r="H5" s="24">
        <f>C5-$A$2*K5</f>
        <v>0.44418374156945795</v>
      </c>
      <c r="I5" s="24" cm="1">
        <f t="array" ref="I5">momentum_step(C5,$A$2,J5)</f>
        <v>0.44917541240179937</v>
      </c>
      <c r="J5" s="24" cm="1">
        <f t="array" ref="J5">average_grad(B5,$O$38,$P$38,$Q$38,$R$38)</f>
        <v>4.9991670832341413E-2</v>
      </c>
      <c r="K5" s="24" cm="1">
        <f t="array" ref="K5">average_grad(M5,$O$38,$P$38,$Q$38,$R$38)</f>
        <v>5.4983341664682821E-2</v>
      </c>
      <c r="L5" s="24">
        <f>C5*(1-$A$2*$C$2)</f>
        <v>0.44925037491072672</v>
      </c>
      <c r="M5" s="24">
        <f>B5+$C$2*C5</f>
        <v>9.9833416646828155E-2</v>
      </c>
    </row>
    <row r="6" spans="1:21" x14ac:dyDescent="0.2">
      <c r="A6" s="24">
        <v>0.3</v>
      </c>
      <c r="B6" s="24">
        <f t="shared" ref="B6:B33" si="0">SIN(A6)/2</f>
        <v>0.14776010333066977</v>
      </c>
      <c r="C6" s="24">
        <f t="shared" ref="C6:C33" si="1">SIN(A6)*5</f>
        <v>1.4776010333066978</v>
      </c>
      <c r="D6" s="24">
        <f t="shared" ref="D6:D33" si="2">C6-$A$2*B6</f>
        <v>1.3298409299760281</v>
      </c>
      <c r="E6" s="24">
        <f>L6-$A$2*B6</f>
        <v>1.1820808266453584</v>
      </c>
      <c r="F6" s="24">
        <f>C6-$A$2*M6</f>
        <v>1.1820808266453582</v>
      </c>
      <c r="G6" s="24">
        <f t="shared" ref="G6:G33" si="3">L6-$A$2*J6</f>
        <v>1.2700649196429612</v>
      </c>
      <c r="H6" s="24">
        <f t="shared" ref="H6:H33" si="4">C6-$A$2*K6</f>
        <v>1.4030490126405639</v>
      </c>
      <c r="I6" s="24" cm="1">
        <f t="array" ref="I6">momentum_step(C6,$A$2,J6)</f>
        <v>1.4178250229736309</v>
      </c>
      <c r="J6" s="24" cm="1">
        <f t="array" ref="J6">average_grad(B6,$O$38,$P$38,$Q$38,$R$38)</f>
        <v>5.9776010333066981E-2</v>
      </c>
      <c r="K6" s="24" cm="1">
        <f t="array" ref="K6">average_grad(M6,$O$38,$P$38,$Q$38,$R$38)</f>
        <v>7.455202066613395E-2</v>
      </c>
      <c r="L6" s="24">
        <f>C6*(1-$A$2*$C$2)</f>
        <v>1.3298409299760281</v>
      </c>
      <c r="M6" s="24">
        <f t="shared" ref="M6:M33" si="5">B6+$C$2*C6</f>
        <v>0.29552020666133955</v>
      </c>
    </row>
    <row r="7" spans="1:21" x14ac:dyDescent="0.2">
      <c r="A7" s="24">
        <v>0.5</v>
      </c>
      <c r="B7" s="24">
        <f t="shared" si="0"/>
        <v>0.2397127693021015</v>
      </c>
      <c r="C7" s="24">
        <f t="shared" si="1"/>
        <v>2.397127693021015</v>
      </c>
      <c r="D7" s="24">
        <f t="shared" si="2"/>
        <v>2.1574149237189135</v>
      </c>
      <c r="E7" s="24">
        <f>L7-$A$2*B7</f>
        <v>1.917702154416812</v>
      </c>
      <c r="F7" s="24">
        <f>C7-$A$2*M7</f>
        <v>1.917702154416812</v>
      </c>
      <c r="G7" s="24">
        <f t="shared" si="3"/>
        <v>2.0884436467887033</v>
      </c>
      <c r="H7" s="24">
        <f t="shared" si="4"/>
        <v>2.3041851391605945</v>
      </c>
      <c r="I7" s="24" cm="1">
        <f t="array" ref="I7">momentum_step(C7,$A$2,J7)</f>
        <v>2.3281564160908048</v>
      </c>
      <c r="J7" s="24" cm="1">
        <f t="array" ref="J7">average_grad(B7,$O$38,$P$38,$Q$38,$R$38)</f>
        <v>6.8971276930210157E-2</v>
      </c>
      <c r="K7" s="24" cm="1">
        <f t="array" ref="K7">average_grad(M7,$O$38,$P$38,$Q$38,$R$38)</f>
        <v>9.2942553860420302E-2</v>
      </c>
      <c r="L7" s="24">
        <f>C7*(1-$A$2*$C$2)</f>
        <v>2.1574149237189135</v>
      </c>
      <c r="M7" s="24">
        <f t="shared" si="5"/>
        <v>0.47942553860420301</v>
      </c>
    </row>
    <row r="8" spans="1:21" x14ac:dyDescent="0.2">
      <c r="A8" s="24">
        <v>0.7</v>
      </c>
      <c r="B8" s="24">
        <f t="shared" si="0"/>
        <v>0.32210884361884551</v>
      </c>
      <c r="C8" s="24">
        <f t="shared" si="1"/>
        <v>3.2210884361884551</v>
      </c>
      <c r="D8" s="24">
        <f t="shared" si="2"/>
        <v>2.8989795925696096</v>
      </c>
      <c r="E8" s="24">
        <f>L8-$A$2*B8</f>
        <v>2.5768707489507641</v>
      </c>
      <c r="F8" s="24">
        <f>C8-$A$2*M8</f>
        <v>2.5768707489507641</v>
      </c>
      <c r="G8" s="24">
        <f t="shared" si="3"/>
        <v>2.821768708207725</v>
      </c>
      <c r="H8" s="24">
        <f t="shared" si="4"/>
        <v>3.1116666674646858</v>
      </c>
      <c r="I8" s="24" cm="1">
        <f t="array" ref="I8">momentum_step(C8,$A$2,J8)</f>
        <v>3.1438775518265705</v>
      </c>
      <c r="J8" s="24" cm="1">
        <f t="array" ref="J8">average_grad(B8,$O$38,$P$38,$Q$38,$R$38)</f>
        <v>7.7210884361884558E-2</v>
      </c>
      <c r="K8" s="24" cm="1">
        <f t="array" ref="K8">average_grad(M8,$O$38,$P$38,$Q$38,$R$38)</f>
        <v>0.1094217687237691</v>
      </c>
      <c r="L8" s="24">
        <f>C8*(1-$A$2*$C$2)</f>
        <v>2.8989795925696096</v>
      </c>
      <c r="M8" s="24">
        <f t="shared" si="5"/>
        <v>0.64421768723769102</v>
      </c>
    </row>
    <row r="9" spans="1:21" x14ac:dyDescent="0.2">
      <c r="A9" s="24">
        <v>0.9</v>
      </c>
      <c r="B9" s="24">
        <f t="shared" si="0"/>
        <v>0.39166345481374171</v>
      </c>
      <c r="C9" s="24">
        <f t="shared" si="1"/>
        <v>3.916634548137417</v>
      </c>
      <c r="D9" s="24">
        <f t="shared" si="2"/>
        <v>3.5249710933236753</v>
      </c>
      <c r="E9" s="24">
        <f>L9-$A$2*B9</f>
        <v>3.1333076385099337</v>
      </c>
      <c r="F9" s="24">
        <f>C9-$A$2*M9</f>
        <v>3.1333076385099337</v>
      </c>
      <c r="G9" s="24">
        <f t="shared" si="3"/>
        <v>3.4408047478423009</v>
      </c>
      <c r="H9" s="24">
        <f t="shared" si="4"/>
        <v>3.7933018571746686</v>
      </c>
      <c r="I9" s="24" cm="1">
        <f t="array" ref="I9">momentum_step(C9,$A$2,J9)</f>
        <v>3.8324682026560426</v>
      </c>
      <c r="J9" s="24" cm="1">
        <f t="array" ref="J9">average_grad(B9,$O$38,$P$38,$Q$38,$R$38)</f>
        <v>8.4166345481374166E-2</v>
      </c>
      <c r="K9" s="24" cm="1">
        <f t="array" ref="K9">average_grad(M9,$O$38,$P$38,$Q$38,$R$38)</f>
        <v>0.12333269096274832</v>
      </c>
      <c r="L9" s="24">
        <f>C9*(1-$A$2*$C$2)</f>
        <v>3.5249710933236753</v>
      </c>
      <c r="M9" s="24">
        <f t="shared" si="5"/>
        <v>0.78332690962748341</v>
      </c>
    </row>
    <row r="10" spans="1:21" x14ac:dyDescent="0.2">
      <c r="A10" s="24">
        <v>1.1000000000000001</v>
      </c>
      <c r="B10" s="24">
        <f t="shared" si="0"/>
        <v>0.44560368003071771</v>
      </c>
      <c r="C10" s="24">
        <f t="shared" si="1"/>
        <v>4.4560368003071771</v>
      </c>
      <c r="D10" s="24">
        <f t="shared" si="2"/>
        <v>4.0104331202764598</v>
      </c>
      <c r="E10" s="24">
        <f>L10-$A$2*B10</f>
        <v>3.5648294402457421</v>
      </c>
      <c r="F10" s="24">
        <f>C10-$A$2*M10</f>
        <v>3.5648294402457417</v>
      </c>
      <c r="G10" s="24">
        <f t="shared" si="3"/>
        <v>3.9208727522733882</v>
      </c>
      <c r="H10" s="24">
        <f t="shared" si="4"/>
        <v>4.3219160643010337</v>
      </c>
      <c r="I10" s="24" cm="1">
        <f t="array" ref="I10">momentum_step(C10,$A$2,J10)</f>
        <v>4.366476432304105</v>
      </c>
      <c r="J10" s="24" cm="1">
        <f t="array" ref="J10">average_grad(B10,$O$38,$P$38,$Q$38,$R$38)</f>
        <v>8.9560368003071766E-2</v>
      </c>
      <c r="K10" s="24" cm="1">
        <f t="array" ref="K10">average_grad(M10,$O$38,$P$38,$Q$38,$R$38)</f>
        <v>0.13412073600614352</v>
      </c>
      <c r="L10" s="24">
        <f>C10*(1-$A$2*$C$2)</f>
        <v>4.0104331202764598</v>
      </c>
      <c r="M10" s="24">
        <f t="shared" si="5"/>
        <v>0.89120736006143542</v>
      </c>
      <c r="U10" t="s">
        <v>94</v>
      </c>
    </row>
    <row r="11" spans="1:21" x14ac:dyDescent="0.2">
      <c r="A11" s="24">
        <v>1.3</v>
      </c>
      <c r="B11" s="24">
        <f t="shared" si="0"/>
        <v>0.48177909270859648</v>
      </c>
      <c r="C11" s="24">
        <f t="shared" si="1"/>
        <v>4.8177909270859649</v>
      </c>
      <c r="D11" s="24">
        <f t="shared" si="2"/>
        <v>4.3360118343773681</v>
      </c>
      <c r="E11" s="24">
        <f>L11-$A$2*B11</f>
        <v>3.8542327416687718</v>
      </c>
      <c r="F11" s="24">
        <f>C11-$A$2*M11</f>
        <v>3.8542327416687718</v>
      </c>
      <c r="G11" s="24">
        <f t="shared" si="3"/>
        <v>4.2428339251065088</v>
      </c>
      <c r="H11" s="24">
        <f t="shared" si="4"/>
        <v>4.6764351085442453</v>
      </c>
      <c r="I11" s="24" cm="1">
        <f t="array" ref="I11">momentum_step(C11,$A$2,J11)</f>
        <v>4.7246130178151056</v>
      </c>
      <c r="J11" s="24" cm="1">
        <f t="array" ref="J11">average_grad(B11,$O$38,$P$38,$Q$38,$R$38)</f>
        <v>9.3177909270859643E-2</v>
      </c>
      <c r="K11" s="24" cm="1">
        <f t="array" ref="K11">average_grad(M11,$O$38,$P$38,$Q$38,$R$38)</f>
        <v>0.1413558185417193</v>
      </c>
      <c r="L11" s="24">
        <f>C11*(1-$A$2*$C$2)</f>
        <v>4.3360118343773681</v>
      </c>
      <c r="M11" s="24">
        <f t="shared" si="5"/>
        <v>0.96355818541719307</v>
      </c>
    </row>
    <row r="12" spans="1:21" x14ac:dyDescent="0.2">
      <c r="A12" s="24">
        <v>1.5</v>
      </c>
      <c r="B12" s="24">
        <f t="shared" si="0"/>
        <v>0.49874749330202722</v>
      </c>
      <c r="C12" s="24">
        <f t="shared" si="1"/>
        <v>4.9874749330202723</v>
      </c>
      <c r="D12" s="24">
        <f t="shared" si="2"/>
        <v>4.4887274397182448</v>
      </c>
      <c r="E12" s="24">
        <f>L12-$A$2*B12</f>
        <v>3.9899799464162178</v>
      </c>
      <c r="F12" s="24">
        <f>C12-$A$2*M12</f>
        <v>3.9899799464162178</v>
      </c>
      <c r="G12" s="24">
        <f t="shared" si="3"/>
        <v>4.3938526903880417</v>
      </c>
      <c r="H12" s="24">
        <f t="shared" si="4"/>
        <v>4.8427254343598669</v>
      </c>
      <c r="I12" s="24" cm="1">
        <f t="array" ref="I12">momentum_step(C12,$A$2,J12)</f>
        <v>4.8926001836900692</v>
      </c>
      <c r="J12" s="24" cm="1">
        <f t="array" ref="J12">average_grad(B12,$O$38,$P$38,$Q$38,$R$38)</f>
        <v>9.4874749330202707E-2</v>
      </c>
      <c r="K12" s="24" cm="1">
        <f t="array" ref="K12">average_grad(M12,$O$38,$P$38,$Q$38,$R$38)</f>
        <v>0.14474949866040543</v>
      </c>
      <c r="L12" s="24">
        <f>C12*(1-$A$2*$C$2)</f>
        <v>4.4887274397182448</v>
      </c>
      <c r="M12" s="24">
        <f t="shared" si="5"/>
        <v>0.99749498660405456</v>
      </c>
    </row>
    <row r="13" spans="1:21" x14ac:dyDescent="0.2">
      <c r="A13" s="24">
        <v>1.7</v>
      </c>
      <c r="B13" s="24">
        <f t="shared" si="0"/>
        <v>0.49583240522623429</v>
      </c>
      <c r="C13" s="24">
        <f t="shared" si="1"/>
        <v>4.9583240522623431</v>
      </c>
      <c r="D13" s="24">
        <f t="shared" si="2"/>
        <v>4.4624916470361091</v>
      </c>
      <c r="E13" s="24">
        <f>L13-$A$2*B13</f>
        <v>3.9666592418098747</v>
      </c>
      <c r="F13" s="24">
        <f>C13-$A$2*M13</f>
        <v>3.9666592418098743</v>
      </c>
      <c r="G13" s="24">
        <f t="shared" si="3"/>
        <v>4.3679084065134859</v>
      </c>
      <c r="H13" s="24">
        <f t="shared" si="4"/>
        <v>4.8141575712170965</v>
      </c>
      <c r="I13" s="24" cm="1">
        <f t="array" ref="I13">momentum_step(C13,$A$2,J13)</f>
        <v>4.8637408117397198</v>
      </c>
      <c r="J13" s="24" cm="1">
        <f t="array" ref="J13">average_grad(B13,$O$38,$P$38,$Q$38,$R$38)</f>
        <v>9.458324052262343E-2</v>
      </c>
      <c r="K13" s="24" cm="1">
        <f t="array" ref="K13">average_grad(M13,$O$38,$P$38,$Q$38,$R$38)</f>
        <v>0.14416648104524685</v>
      </c>
      <c r="L13" s="24">
        <f>C13*(1-$A$2*$C$2)</f>
        <v>4.4624916470361091</v>
      </c>
      <c r="M13" s="24">
        <f t="shared" si="5"/>
        <v>0.99166481045246857</v>
      </c>
    </row>
    <row r="14" spans="1:21" x14ac:dyDescent="0.2">
      <c r="A14" s="24">
        <v>1.9</v>
      </c>
      <c r="B14" s="24">
        <f t="shared" si="0"/>
        <v>0.47315004384370724</v>
      </c>
      <c r="C14" s="24">
        <f t="shared" si="1"/>
        <v>4.731500438437072</v>
      </c>
      <c r="D14" s="24">
        <f t="shared" si="2"/>
        <v>4.2583503945933652</v>
      </c>
      <c r="E14" s="24">
        <f>L14-$A$2*B14</f>
        <v>3.7852003507496579</v>
      </c>
      <c r="F14" s="24">
        <f>C14-$A$2*M14</f>
        <v>3.7852003507496574</v>
      </c>
      <c r="G14" s="24">
        <f t="shared" si="3"/>
        <v>4.1660353902089948</v>
      </c>
      <c r="H14" s="24">
        <f t="shared" si="4"/>
        <v>4.5918704296683304</v>
      </c>
      <c r="I14" s="24" cm="1">
        <f t="array" ref="I14">momentum_step(C14,$A$2,J14)</f>
        <v>4.6391854340527017</v>
      </c>
      <c r="J14" s="24" cm="1">
        <f t="array" ref="J14">average_grad(B14,$O$38,$P$38,$Q$38,$R$38)</f>
        <v>9.2315004384370708E-2</v>
      </c>
      <c r="K14" s="24" cm="1">
        <f t="array" ref="K14">average_grad(M14,$O$38,$P$38,$Q$38,$R$38)</f>
        <v>0.13963000876874143</v>
      </c>
      <c r="L14" s="24">
        <f>C14*(1-$A$2*$C$2)</f>
        <v>4.2583503945933652</v>
      </c>
      <c r="M14" s="24">
        <f t="shared" si="5"/>
        <v>0.94630008768741447</v>
      </c>
    </row>
    <row r="15" spans="1:21" x14ac:dyDescent="0.2">
      <c r="A15" s="24">
        <v>2.1</v>
      </c>
      <c r="B15" s="24">
        <f t="shared" si="0"/>
        <v>0.43160468332443686</v>
      </c>
      <c r="C15" s="24">
        <f t="shared" si="1"/>
        <v>4.3160468332443687</v>
      </c>
      <c r="D15" s="24">
        <f t="shared" si="2"/>
        <v>3.884442149919932</v>
      </c>
      <c r="E15" s="24">
        <f>L15-$A$2*B15</f>
        <v>3.4528374665954953</v>
      </c>
      <c r="F15" s="24">
        <f>C15-$A$2*M15</f>
        <v>3.4528374665954948</v>
      </c>
      <c r="G15" s="24">
        <f t="shared" si="3"/>
        <v>3.7962816815874882</v>
      </c>
      <c r="H15" s="24">
        <f t="shared" si="4"/>
        <v>4.1847258965794811</v>
      </c>
      <c r="I15" s="24" cm="1">
        <f t="array" ref="I15">momentum_step(C15,$A$2,J15)</f>
        <v>4.2278863649119254</v>
      </c>
      <c r="J15" s="24" cm="1">
        <f t="array" ref="J15">average_grad(B15,$O$38,$P$38,$Q$38,$R$38)</f>
        <v>8.8160468332443676E-2</v>
      </c>
      <c r="K15" s="24" cm="1">
        <f t="array" ref="K15">average_grad(M15,$O$38,$P$38,$Q$38,$R$38)</f>
        <v>0.13132093666488737</v>
      </c>
      <c r="L15" s="24">
        <f>C15*(1-$A$2*$C$2)</f>
        <v>3.884442149919932</v>
      </c>
      <c r="M15" s="24">
        <f t="shared" si="5"/>
        <v>0.86320936664887382</v>
      </c>
    </row>
    <row r="16" spans="1:21" x14ac:dyDescent="0.2">
      <c r="A16" s="24">
        <v>2.2999999999999998</v>
      </c>
      <c r="B16" s="24">
        <f t="shared" si="0"/>
        <v>0.37285260608836013</v>
      </c>
      <c r="C16" s="24">
        <f t="shared" si="1"/>
        <v>3.7285260608836013</v>
      </c>
      <c r="D16" s="24">
        <f t="shared" si="2"/>
        <v>3.3556734547952409</v>
      </c>
      <c r="E16" s="24">
        <f>L16-$A$2*B16</f>
        <v>2.982820848706881</v>
      </c>
      <c r="F16" s="24">
        <f>C16-$A$2*M16</f>
        <v>2.982820848706881</v>
      </c>
      <c r="G16" s="24">
        <f t="shared" si="3"/>
        <v>3.2733881941864054</v>
      </c>
      <c r="H16" s="24">
        <f t="shared" si="4"/>
        <v>3.6089555396659292</v>
      </c>
      <c r="I16" s="24" cm="1">
        <f t="array" ref="I16">momentum_step(C16,$A$2,J16)</f>
        <v>3.6462408002747653</v>
      </c>
      <c r="J16" s="24" cm="1">
        <f t="array" ref="J16">average_grad(B16,$O$38,$P$38,$Q$38,$R$38)</f>
        <v>8.2285260608836008E-2</v>
      </c>
      <c r="K16" s="24" cm="1">
        <f t="array" ref="K16">average_grad(M16,$O$38,$P$38,$Q$38,$R$38)</f>
        <v>0.119570521217672</v>
      </c>
      <c r="L16" s="24">
        <f>C16*(1-$A$2*$C$2)</f>
        <v>3.3556734547952414</v>
      </c>
      <c r="M16" s="24">
        <f t="shared" si="5"/>
        <v>0.74570521217672026</v>
      </c>
    </row>
    <row r="17" spans="1:21" x14ac:dyDescent="0.2">
      <c r="A17" s="24">
        <v>2.5</v>
      </c>
      <c r="B17" s="24">
        <f t="shared" si="0"/>
        <v>0.29923607205197827</v>
      </c>
      <c r="C17" s="24">
        <f t="shared" si="1"/>
        <v>2.9923607205197826</v>
      </c>
      <c r="D17" s="24">
        <f t="shared" si="2"/>
        <v>2.6931246484678044</v>
      </c>
      <c r="E17" s="24">
        <f>L17-$A$2*B17</f>
        <v>2.3938885764158262</v>
      </c>
      <c r="F17" s="24">
        <f>C17-$A$2*M17</f>
        <v>2.3938885764158262</v>
      </c>
      <c r="G17" s="24">
        <f t="shared" si="3"/>
        <v>2.6182010412626067</v>
      </c>
      <c r="H17" s="24">
        <f t="shared" si="4"/>
        <v>2.8875135061093871</v>
      </c>
      <c r="I17" s="24" cm="1">
        <f t="array" ref="I17">momentum_step(C17,$A$2,J17)</f>
        <v>2.9174371133145849</v>
      </c>
      <c r="J17" s="24" cm="1">
        <f t="array" ref="J17">average_grad(B17,$O$38,$P$38,$Q$38,$R$38)</f>
        <v>7.4923607205197834E-2</v>
      </c>
      <c r="K17" s="24" cm="1">
        <f t="array" ref="K17">average_grad(M17,$O$38,$P$38,$Q$38,$R$38)</f>
        <v>0.10484721441039566</v>
      </c>
      <c r="L17" s="24">
        <f>C17*(1-$A$2*$C$2)</f>
        <v>2.6931246484678044</v>
      </c>
      <c r="M17" s="24">
        <f t="shared" si="5"/>
        <v>0.59847214410395655</v>
      </c>
    </row>
    <row r="18" spans="1:21" x14ac:dyDescent="0.2">
      <c r="A18" s="24">
        <v>2.7</v>
      </c>
      <c r="B18" s="24">
        <f t="shared" si="0"/>
        <v>0.21368994011691489</v>
      </c>
      <c r="C18" s="24">
        <f t="shared" si="1"/>
        <v>2.1368994011691491</v>
      </c>
      <c r="D18" s="24">
        <f t="shared" si="2"/>
        <v>1.9232094610522341</v>
      </c>
      <c r="E18" s="24">
        <f>L18-$A$2*B18</f>
        <v>1.7095195209353196</v>
      </c>
      <c r="F18" s="24">
        <f>C18-$A$2*M18</f>
        <v>1.7095195209353193</v>
      </c>
      <c r="G18" s="24">
        <f t="shared" si="3"/>
        <v>1.8568404670405427</v>
      </c>
      <c r="H18" s="24">
        <f t="shared" si="4"/>
        <v>2.0491614131457663</v>
      </c>
      <c r="I18" s="24" cm="1">
        <f t="array" ref="I18">momentum_step(C18,$A$2,J18)</f>
        <v>2.0705304071574577</v>
      </c>
      <c r="J18" s="24" cm="1">
        <f t="array" ref="J18">average_grad(B18,$O$38,$P$38,$Q$38,$R$38)</f>
        <v>6.6368994011691496E-2</v>
      </c>
      <c r="K18" s="24" cm="1">
        <f t="array" ref="K18">average_grad(M18,$O$38,$P$38,$Q$38,$R$38)</f>
        <v>8.7737988023382979E-2</v>
      </c>
      <c r="L18" s="24">
        <f>C18*(1-$A$2*$C$2)</f>
        <v>1.9232094610522343</v>
      </c>
      <c r="M18" s="24">
        <f t="shared" si="5"/>
        <v>0.42737988023382978</v>
      </c>
      <c r="U18" t="s">
        <v>95</v>
      </c>
    </row>
    <row r="19" spans="1:21" x14ac:dyDescent="0.2">
      <c r="A19" s="24">
        <v>2.9</v>
      </c>
      <c r="B19" s="24">
        <f t="shared" si="0"/>
        <v>0.11962466460699121</v>
      </c>
      <c r="C19" s="24">
        <f t="shared" si="1"/>
        <v>1.1962466460699122</v>
      </c>
      <c r="D19" s="24">
        <f t="shared" si="2"/>
        <v>1.076621981462921</v>
      </c>
      <c r="E19" s="24">
        <f>L19-$A$2*B19</f>
        <v>0.95699731685592981</v>
      </c>
      <c r="F19" s="24">
        <f>C19-$A$2*M19</f>
        <v>0.9569973168559297</v>
      </c>
      <c r="G19" s="24">
        <f t="shared" si="3"/>
        <v>1.0196595150022219</v>
      </c>
      <c r="H19" s="24">
        <f t="shared" si="4"/>
        <v>1.1273217131485138</v>
      </c>
      <c r="I19" s="24" cm="1">
        <f t="array" ref="I19">momentum_step(C19,$A$2,J19)</f>
        <v>1.139284179609213</v>
      </c>
      <c r="J19" s="24" cm="1">
        <f t="array" ref="J19">average_grad(B19,$O$38,$P$38,$Q$38,$R$38)</f>
        <v>5.6962466460699121E-2</v>
      </c>
      <c r="K19" s="24" cm="1">
        <f t="array" ref="K19">average_grad(M19,$O$38,$P$38,$Q$38,$R$38)</f>
        <v>6.8924932921398244E-2</v>
      </c>
      <c r="L19" s="24">
        <f>C19*(1-$A$2*$C$2)</f>
        <v>1.076621981462921</v>
      </c>
      <c r="M19" s="24">
        <f t="shared" si="5"/>
        <v>0.23924932921398245</v>
      </c>
    </row>
    <row r="20" spans="1:21" x14ac:dyDescent="0.2">
      <c r="A20" s="24">
        <v>3.1</v>
      </c>
      <c r="B20" s="24">
        <f t="shared" si="0"/>
        <v>2.0790331216645246E-2</v>
      </c>
      <c r="C20" s="24">
        <f t="shared" si="1"/>
        <v>0.20790331216645247</v>
      </c>
      <c r="D20" s="24">
        <f t="shared" si="2"/>
        <v>0.18711298094980722</v>
      </c>
      <c r="E20" s="24">
        <f>L20-$A$2*B20</f>
        <v>0.16632264973316196</v>
      </c>
      <c r="F20" s="24">
        <f>C20-$A$2*M20</f>
        <v>0.16632264973316196</v>
      </c>
      <c r="G20" s="24">
        <f t="shared" si="3"/>
        <v>0.14003394782814269</v>
      </c>
      <c r="H20" s="24">
        <f t="shared" si="4"/>
        <v>0.15874524592312342</v>
      </c>
      <c r="I20" s="24" cm="1">
        <f t="array" ref="I20">momentum_step(C20,$A$2,J20)</f>
        <v>0.16082427904478794</v>
      </c>
      <c r="J20" s="24" cm="1">
        <f t="array" ref="J20">average_grad(B20,$O$38,$P$38,$Q$38,$R$38)</f>
        <v>4.7079033121664532E-2</v>
      </c>
      <c r="K20" s="24" cm="1">
        <f t="array" ref="K20">average_grad(M20,$O$38,$P$38,$Q$38,$R$38)</f>
        <v>4.9158066243329052E-2</v>
      </c>
      <c r="L20" s="24">
        <f>C20*(1-$A$2*$C$2)</f>
        <v>0.18711298094980722</v>
      </c>
      <c r="M20" s="24">
        <f t="shared" si="5"/>
        <v>4.1580662433290491E-2</v>
      </c>
    </row>
    <row r="21" spans="1:21" x14ac:dyDescent="0.2">
      <c r="A21" s="24">
        <v>3.3</v>
      </c>
      <c r="B21" s="24">
        <f t="shared" si="0"/>
        <v>-7.8872847071624105E-2</v>
      </c>
      <c r="C21" s="24">
        <f t="shared" si="1"/>
        <v>-0.78872847071624108</v>
      </c>
      <c r="D21" s="24">
        <f t="shared" si="2"/>
        <v>-0.70985562364461696</v>
      </c>
      <c r="E21" s="24">
        <f>L21-$A$2*B21</f>
        <v>-0.63098277657299284</v>
      </c>
      <c r="F21" s="24">
        <f>C21-$A$2*M21</f>
        <v>-0.63098277657299284</v>
      </c>
      <c r="G21" s="24">
        <f t="shared" si="3"/>
        <v>-0.74696833893745451</v>
      </c>
      <c r="H21" s="24">
        <f t="shared" si="4"/>
        <v>-0.81795390130191625</v>
      </c>
      <c r="I21" s="24" cm="1">
        <f t="array" ref="I21">momentum_step(C21,$A$2,J21)</f>
        <v>-0.82584118600907863</v>
      </c>
      <c r="J21" s="24" cm="1">
        <f t="array" ref="J21">average_grad(B21,$O$38,$P$38,$Q$38,$R$38)</f>
        <v>3.7112715292837599E-2</v>
      </c>
      <c r="K21" s="24" cm="1">
        <f t="array" ref="K21">average_grad(M21,$O$38,$P$38,$Q$38,$R$38)</f>
        <v>2.9225430585675186E-2</v>
      </c>
      <c r="L21" s="24">
        <f>C21*(1-$A$2*$C$2)</f>
        <v>-0.70985562364461696</v>
      </c>
      <c r="M21" s="24">
        <f t="shared" si="5"/>
        <v>-0.15774569414324824</v>
      </c>
    </row>
    <row r="22" spans="1:21" x14ac:dyDescent="0.2">
      <c r="A22" s="24">
        <v>3.5</v>
      </c>
      <c r="B22" s="24">
        <f t="shared" si="0"/>
        <v>-0.17539161384480992</v>
      </c>
      <c r="C22" s="24">
        <f t="shared" si="1"/>
        <v>-1.7539161384480992</v>
      </c>
      <c r="D22" s="24">
        <f t="shared" si="2"/>
        <v>-1.5785245246032893</v>
      </c>
      <c r="E22" s="24">
        <f>L22-$A$2*B22</f>
        <v>-1.4031329107584793</v>
      </c>
      <c r="F22" s="24">
        <f>C22-$A$2*M22</f>
        <v>-1.4031329107584793</v>
      </c>
      <c r="G22" s="24">
        <f t="shared" si="3"/>
        <v>-1.6059853632188084</v>
      </c>
      <c r="H22" s="24">
        <f t="shared" si="4"/>
        <v>-1.7638378156791372</v>
      </c>
      <c r="I22" s="24" cm="1">
        <f t="array" ref="I22">momentum_step(C22,$A$2,J22)</f>
        <v>-1.7813769770636183</v>
      </c>
      <c r="J22" s="24" cm="1">
        <f t="array" ref="J22">average_grad(B22,$O$38,$P$38,$Q$38,$R$38)</f>
        <v>2.7460838615519019E-2</v>
      </c>
      <c r="K22" s="24" cm="1">
        <f t="array" ref="K22">average_grad(M22,$O$38,$P$38,$Q$38,$R$38)</f>
        <v>9.9216772310380258E-3</v>
      </c>
      <c r="L22" s="24">
        <f>C22*(1-$A$2*$C$2)</f>
        <v>-1.5785245246032893</v>
      </c>
      <c r="M22" s="24">
        <f t="shared" si="5"/>
        <v>-0.35078322768961989</v>
      </c>
    </row>
    <row r="23" spans="1:21" x14ac:dyDescent="0.2">
      <c r="A23" s="24">
        <v>3.7</v>
      </c>
      <c r="B23" s="24">
        <f t="shared" si="0"/>
        <v>-0.2649180704542467</v>
      </c>
      <c r="C23" s="24">
        <f t="shared" si="1"/>
        <v>-2.6491807045424669</v>
      </c>
      <c r="D23" s="24">
        <f t="shared" si="2"/>
        <v>-2.3842626340882203</v>
      </c>
      <c r="E23" s="24">
        <f>L23-$A$2*B23</f>
        <v>-2.1193445636339736</v>
      </c>
      <c r="F23" s="24">
        <f>C23-$A$2*M23</f>
        <v>-2.1193445636339736</v>
      </c>
      <c r="G23" s="24">
        <f t="shared" si="3"/>
        <v>-2.4027708270427954</v>
      </c>
      <c r="H23" s="24">
        <f t="shared" si="4"/>
        <v>-2.6411970904516178</v>
      </c>
      <c r="I23" s="24" cm="1">
        <f t="array" ref="I23">momentum_step(C23,$A$2,J23)</f>
        <v>-2.6676888974970421</v>
      </c>
      <c r="J23" s="24" cm="1">
        <f t="array" ref="J23">average_grad(B23,$O$38,$P$38,$Q$38,$R$38)</f>
        <v>1.8508192954575342E-2</v>
      </c>
      <c r="K23" s="24" cm="1">
        <f t="array" ref="K23">average_grad(M23,$O$38,$P$38,$Q$38,$R$38)</f>
        <v>-7.9836140908493211E-3</v>
      </c>
      <c r="L23" s="24">
        <f>C23*(1-$A$2*$C$2)</f>
        <v>-2.3842626340882203</v>
      </c>
      <c r="M23" s="24">
        <f t="shared" si="5"/>
        <v>-0.5298361409084934</v>
      </c>
    </row>
    <row r="24" spans="1:21" x14ac:dyDescent="0.2">
      <c r="A24" s="24">
        <v>3.9</v>
      </c>
      <c r="B24" s="24">
        <f t="shared" si="0"/>
        <v>-0.34388307959198688</v>
      </c>
      <c r="C24" s="24">
        <f t="shared" si="1"/>
        <v>-3.438830795919869</v>
      </c>
      <c r="D24" s="24">
        <f t="shared" si="2"/>
        <v>-3.0949477163278822</v>
      </c>
      <c r="E24" s="24">
        <f>L24-$A$2*B24</f>
        <v>-2.7510646367358955</v>
      </c>
      <c r="F24" s="24">
        <f>C24-$A$2*M24</f>
        <v>-2.7510646367358951</v>
      </c>
      <c r="G24" s="24">
        <f t="shared" si="3"/>
        <v>-3.1055594083686837</v>
      </c>
      <c r="H24" s="24">
        <f t="shared" si="4"/>
        <v>-3.4150541800014715</v>
      </c>
      <c r="I24" s="24" cm="1">
        <f t="array" ref="I24">momentum_step(C24,$A$2,J24)</f>
        <v>-3.4494424879606704</v>
      </c>
      <c r="J24" s="24" cm="1">
        <f t="array" ref="J24">average_grad(B24,$O$38,$P$38,$Q$38,$R$38)</f>
        <v>1.0611692040801327E-2</v>
      </c>
      <c r="K24" s="24" cm="1">
        <f t="array" ref="K24">average_grad(M24,$O$38,$P$38,$Q$38,$R$38)</f>
        <v>-2.3776615918397366E-2</v>
      </c>
      <c r="L24" s="24">
        <f>C24*(1-$A$2*$C$2)</f>
        <v>-3.0949477163278822</v>
      </c>
      <c r="M24" s="24">
        <f t="shared" si="5"/>
        <v>-0.68776615918397388</v>
      </c>
    </row>
    <row r="25" spans="1:21" x14ac:dyDescent="0.2">
      <c r="A25" s="24">
        <v>4.0999999999999996</v>
      </c>
      <c r="B25" s="24">
        <f t="shared" si="0"/>
        <v>-0.40913855553220513</v>
      </c>
      <c r="C25" s="24">
        <f t="shared" si="1"/>
        <v>-4.0913855553220513</v>
      </c>
      <c r="D25" s="24">
        <f t="shared" si="2"/>
        <v>-3.6822469997898462</v>
      </c>
      <c r="E25" s="24">
        <f>L25-$A$2*B25</f>
        <v>-3.273108444257641</v>
      </c>
      <c r="F25" s="24">
        <f>C25-$A$2*M25</f>
        <v>-3.273108444257641</v>
      </c>
      <c r="G25" s="24">
        <f t="shared" si="3"/>
        <v>-3.6863331442366256</v>
      </c>
      <c r="H25" s="24">
        <f t="shared" si="4"/>
        <v>-4.0545578442156103</v>
      </c>
      <c r="I25" s="24" cm="1">
        <f t="array" ref="I25">momentum_step(C25,$A$2,J25)</f>
        <v>-4.0954716997688312</v>
      </c>
      <c r="J25" s="24" cm="1">
        <f t="array" ref="J25">average_grad(B25,$O$38,$P$38,$Q$38,$R$38)</f>
        <v>4.0861444467795022E-3</v>
      </c>
      <c r="K25" s="24" cm="1">
        <f t="array" ref="K25">average_grad(M25,$O$38,$P$38,$Q$38,$R$38)</f>
        <v>-3.6827711106441001E-2</v>
      </c>
      <c r="L25" s="24">
        <f>C25*(1-$A$2*$C$2)</f>
        <v>-3.6822469997898462</v>
      </c>
      <c r="M25" s="24">
        <f t="shared" si="5"/>
        <v>-0.81827711106441026</v>
      </c>
    </row>
    <row r="26" spans="1:21" x14ac:dyDescent="0.2">
      <c r="A26" s="24">
        <v>4.3</v>
      </c>
      <c r="B26" s="24">
        <f t="shared" si="0"/>
        <v>-0.45808296837472745</v>
      </c>
      <c r="C26" s="24">
        <f t="shared" si="1"/>
        <v>-4.5808296837472744</v>
      </c>
      <c r="D26" s="24">
        <f t="shared" si="2"/>
        <v>-4.1227467153725472</v>
      </c>
      <c r="E26" s="24">
        <f>L26-$A$2*B26</f>
        <v>-3.6646637469978196</v>
      </c>
      <c r="F26" s="24">
        <f>C26-$A$2*M26</f>
        <v>-3.6646637469978196</v>
      </c>
      <c r="G26" s="24">
        <f t="shared" si="3"/>
        <v>-4.1219384185350743</v>
      </c>
      <c r="H26" s="24">
        <f t="shared" si="4"/>
        <v>-4.5342130900723285</v>
      </c>
      <c r="I26" s="24" cm="1">
        <f t="array" ref="I26">momentum_step(C26,$A$2,J26)</f>
        <v>-4.5800213869098014</v>
      </c>
      <c r="J26" s="24" cm="1">
        <f t="array" ref="J26">average_grad(B26,$O$38,$P$38,$Q$38,$R$38)</f>
        <v>-8.0829683747273007E-4</v>
      </c>
      <c r="K26" s="24" cm="1">
        <f t="array" ref="K26">average_grad(M26,$O$38,$P$38,$Q$38,$R$38)</f>
        <v>-4.6616593674945465E-2</v>
      </c>
      <c r="L26" s="24">
        <f>C26*(1-$A$2*$C$2)</f>
        <v>-4.1227467153725472</v>
      </c>
      <c r="M26" s="24">
        <f t="shared" si="5"/>
        <v>-0.9161659367494549</v>
      </c>
    </row>
    <row r="27" spans="1:21" x14ac:dyDescent="0.2">
      <c r="A27" s="24">
        <v>4.5</v>
      </c>
      <c r="B27" s="24">
        <f t="shared" si="0"/>
        <v>-0.4887650588325485</v>
      </c>
      <c r="C27" s="24">
        <f t="shared" si="1"/>
        <v>-4.887650588325485</v>
      </c>
      <c r="D27" s="24">
        <f t="shared" si="2"/>
        <v>-4.3988855294929365</v>
      </c>
      <c r="E27" s="24">
        <f>L27-$A$2*B27</f>
        <v>-3.910120470660388</v>
      </c>
      <c r="F27" s="24">
        <f>C27-$A$2*M27</f>
        <v>-3.910120470660388</v>
      </c>
      <c r="G27" s="24">
        <f t="shared" si="3"/>
        <v>-4.3950090236096813</v>
      </c>
      <c r="H27" s="24">
        <f t="shared" si="4"/>
        <v>-4.8348975765589755</v>
      </c>
      <c r="I27" s="24" cm="1">
        <f t="array" ref="I27">momentum_step(C27,$A$2,J27)</f>
        <v>-4.8837740824422298</v>
      </c>
      <c r="J27" s="24" cm="1">
        <f t="array" ref="J27">average_grad(B27,$O$38,$P$38,$Q$38,$R$38)</f>
        <v>-3.8765058832548327E-3</v>
      </c>
      <c r="K27" s="24" cm="1">
        <f t="array" ref="K27">average_grad(M27,$O$38,$P$38,$Q$38,$R$38)</f>
        <v>-5.2753011766509671E-2</v>
      </c>
      <c r="L27" s="24">
        <f>C27*(1-$A$2*$C$2)</f>
        <v>-4.3988855294929365</v>
      </c>
      <c r="M27" s="24">
        <f t="shared" si="5"/>
        <v>-0.97753011766509701</v>
      </c>
    </row>
    <row r="28" spans="1:21" x14ac:dyDescent="0.2">
      <c r="A28" s="24">
        <v>4.7</v>
      </c>
      <c r="B28" s="24">
        <f t="shared" si="0"/>
        <v>-0.49996162878205042</v>
      </c>
      <c r="C28" s="24">
        <f t="shared" si="1"/>
        <v>-4.9996162878205039</v>
      </c>
      <c r="D28" s="24">
        <f t="shared" si="2"/>
        <v>-4.4996546590384536</v>
      </c>
      <c r="E28" s="24">
        <f>L28-$A$2*B28</f>
        <v>-3.9996930302564033</v>
      </c>
      <c r="F28" s="24">
        <f>C28-$A$2*M28</f>
        <v>-3.9996930302564033</v>
      </c>
      <c r="G28" s="24">
        <f t="shared" si="3"/>
        <v>-4.4946584961602483</v>
      </c>
      <c r="H28" s="24">
        <f t="shared" si="4"/>
        <v>-4.9446239620640942</v>
      </c>
      <c r="I28" s="24" cm="1">
        <f t="array" ref="I28">momentum_step(C28,$A$2,J28)</f>
        <v>-4.9946201249422986</v>
      </c>
      <c r="J28" s="24" cm="1">
        <f t="array" ref="J28">average_grad(B28,$O$38,$P$38,$Q$38,$R$38)</f>
        <v>-4.996162878205028E-3</v>
      </c>
      <c r="K28" s="24" cm="1">
        <f t="array" ref="K28">average_grad(M28,$O$38,$P$38,$Q$38,$R$38)</f>
        <v>-5.4992325756410061E-2</v>
      </c>
      <c r="L28" s="24">
        <f>C28*(1-$A$2*$C$2)</f>
        <v>-4.4996546590384536</v>
      </c>
      <c r="M28" s="24">
        <f t="shared" si="5"/>
        <v>-0.99992325756410083</v>
      </c>
    </row>
    <row r="29" spans="1:21" x14ac:dyDescent="0.2">
      <c r="A29" s="24">
        <v>4.9000000000000004</v>
      </c>
      <c r="B29" s="24">
        <f t="shared" si="0"/>
        <v>-0.49122630631216624</v>
      </c>
      <c r="C29" s="24">
        <f t="shared" si="1"/>
        <v>-4.9122630631216619</v>
      </c>
      <c r="D29" s="24">
        <f t="shared" si="2"/>
        <v>-4.4210367568094959</v>
      </c>
      <c r="E29" s="24">
        <f>L29-$A$2*B29</f>
        <v>-3.9298104504973299</v>
      </c>
      <c r="F29" s="24">
        <f>C29-$A$2*M29</f>
        <v>-3.9298104504973295</v>
      </c>
      <c r="G29" s="24">
        <f t="shared" si="3"/>
        <v>-4.4169141261782796</v>
      </c>
      <c r="H29" s="24">
        <f t="shared" si="4"/>
        <v>-4.8590178018592285</v>
      </c>
      <c r="I29" s="24" cm="1">
        <f t="array" ref="I29">momentum_step(C29,$A$2,J29)</f>
        <v>-4.9081404324904456</v>
      </c>
      <c r="J29" s="24" cm="1">
        <f t="array" ref="J29">average_grad(B29,$O$38,$P$38,$Q$38,$R$38)</f>
        <v>-4.1226306312166089E-3</v>
      </c>
      <c r="K29" s="24" cm="1">
        <f t="array" ref="K29">average_grad(M29,$O$38,$P$38,$Q$38,$R$38)</f>
        <v>-5.3245261262433223E-2</v>
      </c>
      <c r="L29" s="24">
        <f>C29*(1-$A$2*$C$2)</f>
        <v>-4.4210367568094959</v>
      </c>
      <c r="M29" s="24">
        <f t="shared" si="5"/>
        <v>-0.98245261262433248</v>
      </c>
    </row>
    <row r="30" spans="1:21" x14ac:dyDescent="0.2">
      <c r="A30" s="24">
        <v>5.0999999999999996</v>
      </c>
      <c r="B30" s="24">
        <f t="shared" si="0"/>
        <v>-0.46290734116386623</v>
      </c>
      <c r="C30" s="24">
        <f t="shared" si="1"/>
        <v>-4.6290734116386627</v>
      </c>
      <c r="D30" s="24">
        <f t="shared" si="2"/>
        <v>-4.1661660704747963</v>
      </c>
      <c r="E30" s="24">
        <f>L30-$A$2*B30</f>
        <v>-3.7032587293109298</v>
      </c>
      <c r="F30" s="24">
        <f>C30-$A$2*M30</f>
        <v>-3.7032587293109303</v>
      </c>
      <c r="G30" s="24">
        <f t="shared" si="3"/>
        <v>-4.1648753363584099</v>
      </c>
      <c r="H30" s="24">
        <f t="shared" si="4"/>
        <v>-4.5814919434058892</v>
      </c>
      <c r="I30" s="24" cm="1">
        <f t="array" ref="I30">momentum_step(C30,$A$2,J30)</f>
        <v>-4.6277826775222763</v>
      </c>
      <c r="J30" s="24" cm="1">
        <f t="array" ref="J30">average_grad(B30,$O$38,$P$38,$Q$38,$R$38)</f>
        <v>-1.2907341163866104E-3</v>
      </c>
      <c r="K30" s="24" cm="1">
        <f t="array" ref="K30">average_grad(M30,$O$38,$P$38,$Q$38,$R$38)</f>
        <v>-4.7581468232773226E-2</v>
      </c>
      <c r="L30" s="24">
        <f>C30*(1-$A$2*$C$2)</f>
        <v>-4.1661660704747963</v>
      </c>
      <c r="M30" s="24">
        <f t="shared" si="5"/>
        <v>-0.92581468232773245</v>
      </c>
      <c r="O30" s="8" t="s">
        <v>77</v>
      </c>
    </row>
    <row r="31" spans="1:21" ht="17" thickBot="1" x14ac:dyDescent="0.25">
      <c r="A31" s="24">
        <v>5.3</v>
      </c>
      <c r="B31" s="24">
        <f t="shared" si="0"/>
        <v>-0.41613372111195063</v>
      </c>
      <c r="C31" s="24">
        <f t="shared" si="1"/>
        <v>-4.1613372111195064</v>
      </c>
      <c r="D31" s="24">
        <f t="shared" si="2"/>
        <v>-3.7452034900075559</v>
      </c>
      <c r="E31" s="24">
        <f>L31-$A$2*B31</f>
        <v>-3.3290697688956055</v>
      </c>
      <c r="F31" s="24">
        <f>C31-$A$2*M31</f>
        <v>-3.329069768895605</v>
      </c>
      <c r="G31" s="24">
        <f t="shared" si="3"/>
        <v>-3.7485901178963608</v>
      </c>
      <c r="H31" s="24">
        <f t="shared" si="4"/>
        <v>-4.1231104668971161</v>
      </c>
      <c r="I31" s="24" cm="1">
        <f t="array" ref="I31">momentum_step(C31,$A$2,J31)</f>
        <v>-4.1647238390083112</v>
      </c>
      <c r="J31" s="24" cm="1">
        <f t="array" ref="J31">average_grad(B31,$O$38,$P$38,$Q$38,$R$38)</f>
        <v>3.3866278888049495E-3</v>
      </c>
      <c r="K31" s="24" cm="1">
        <f t="array" ref="K31">average_grad(M31,$O$38,$P$38,$Q$38,$R$38)</f>
        <v>-3.8226744222390106E-2</v>
      </c>
      <c r="L31" s="24">
        <f>C31*(1-$A$2*$C$2)</f>
        <v>-3.7452034900075559</v>
      </c>
      <c r="M31" s="24">
        <f t="shared" si="5"/>
        <v>-0.83226744222390137</v>
      </c>
      <c r="O31" s="10" t="s">
        <v>68</v>
      </c>
    </row>
    <row r="32" spans="1:21" ht="17" thickTop="1" x14ac:dyDescent="0.2">
      <c r="A32" s="24">
        <v>5.5</v>
      </c>
      <c r="B32" s="24">
        <f t="shared" si="0"/>
        <v>-0.35277016278519596</v>
      </c>
      <c r="C32" s="24">
        <f t="shared" si="1"/>
        <v>-3.5277016278519597</v>
      </c>
      <c r="D32" s="24">
        <f t="shared" si="2"/>
        <v>-3.1749314650667637</v>
      </c>
      <c r="E32" s="24">
        <f>L32-$A$2*B32</f>
        <v>-2.8221613022815677</v>
      </c>
      <c r="F32" s="24">
        <f>C32-$A$2*M32</f>
        <v>-2.8221613022815677</v>
      </c>
      <c r="G32" s="24">
        <f t="shared" si="3"/>
        <v>-3.184654448788244</v>
      </c>
      <c r="H32" s="24">
        <f t="shared" si="4"/>
        <v>-3.5021475952949204</v>
      </c>
      <c r="I32" s="24" cm="1">
        <f t="array" ref="I32">momentum_step(C32,$A$2,J32)</f>
        <v>-3.53742461157344</v>
      </c>
      <c r="J32" s="24" cm="1">
        <f t="array" ref="J32">average_grad(B32,$O$38,$P$38,$Q$38,$R$38)</f>
        <v>9.7229837214804146E-3</v>
      </c>
      <c r="K32" s="24" cm="1">
        <f t="array" ref="K32">average_grad(M32,$O$38,$P$38,$Q$38,$R$38)</f>
        <v>-2.5554032557039176E-2</v>
      </c>
      <c r="L32" s="24">
        <f>C32*(1-$A$2*$C$2)</f>
        <v>-3.1749314650667637</v>
      </c>
      <c r="M32" s="24">
        <f t="shared" si="5"/>
        <v>-0.70554032557039204</v>
      </c>
      <c r="O32" s="11" t="s">
        <v>67</v>
      </c>
      <c r="P32" s="12" t="s">
        <v>72</v>
      </c>
      <c r="Q32" s="12" t="s">
        <v>85</v>
      </c>
      <c r="R32" s="13"/>
    </row>
    <row r="33" spans="1:18" x14ac:dyDescent="0.2">
      <c r="A33" s="24">
        <v>5.7</v>
      </c>
      <c r="B33" s="24">
        <f t="shared" si="0"/>
        <v>-0.27534277129881879</v>
      </c>
      <c r="C33" s="24">
        <f t="shared" si="1"/>
        <v>-2.7534277129881879</v>
      </c>
      <c r="D33" s="24">
        <f t="shared" si="2"/>
        <v>-2.4780849416893691</v>
      </c>
      <c r="E33" s="24">
        <f>L33-$A$2*B33</f>
        <v>-2.2027421703905503</v>
      </c>
      <c r="F33" s="24">
        <f>C33-$A$2*M33</f>
        <v>-2.2027421703905503</v>
      </c>
      <c r="G33" s="24">
        <f t="shared" si="3"/>
        <v>-2.4955506645594872</v>
      </c>
      <c r="H33" s="24">
        <f t="shared" si="4"/>
        <v>-2.7433591587284241</v>
      </c>
      <c r="I33" s="24" cm="1">
        <f t="array" ref="I33">momentum_step(C33,$A$2,J33)</f>
        <v>-2.7708934358583059</v>
      </c>
      <c r="J33" s="24" cm="1">
        <f t="array" ref="J33">average_grad(B33,$O$38,$P$38,$Q$38,$R$38)</f>
        <v>1.7465722870118133E-2</v>
      </c>
      <c r="K33" s="24" cm="1">
        <f t="array" ref="K33">average_grad(M33,$O$38,$P$38,$Q$38,$R$38)</f>
        <v>-1.0068554259763739E-2</v>
      </c>
      <c r="L33" s="24">
        <f>C33*(1-$A$2*$C$2)</f>
        <v>-2.4780849416893691</v>
      </c>
      <c r="M33" s="24">
        <f t="shared" si="5"/>
        <v>-0.55068554259763758</v>
      </c>
      <c r="O33" s="14">
        <v>1</v>
      </c>
      <c r="P33" s="1">
        <v>4</v>
      </c>
      <c r="Q33">
        <v>1</v>
      </c>
      <c r="R33" s="15"/>
    </row>
    <row r="34" spans="1:18" x14ac:dyDescent="0.2">
      <c r="O34" s="14">
        <v>2</v>
      </c>
      <c r="P34" s="1">
        <v>5</v>
      </c>
      <c r="R34" s="15"/>
    </row>
    <row r="35" spans="1:18" x14ac:dyDescent="0.2">
      <c r="O35" s="14">
        <v>3</v>
      </c>
      <c r="P35" s="1">
        <v>6</v>
      </c>
      <c r="R35" s="15"/>
    </row>
    <row r="36" spans="1:18" x14ac:dyDescent="0.2">
      <c r="O36" s="16">
        <v>4</v>
      </c>
      <c r="P36" s="1">
        <v>7</v>
      </c>
      <c r="R36" s="15"/>
    </row>
    <row r="37" spans="1:18" x14ac:dyDescent="0.2">
      <c r="O37" s="16" t="s">
        <v>28</v>
      </c>
      <c r="P37" t="s">
        <v>29</v>
      </c>
      <c r="Q37" t="s">
        <v>30</v>
      </c>
      <c r="R37" s="15" t="s">
        <v>31</v>
      </c>
    </row>
    <row r="38" spans="1:18" x14ac:dyDescent="0.2">
      <c r="O38" s="16">
        <v>0.9</v>
      </c>
      <c r="P38" t="b">
        <v>1</v>
      </c>
      <c r="Q38" s="1" t="s">
        <v>78</v>
      </c>
      <c r="R38" s="21">
        <v>0.05</v>
      </c>
    </row>
    <row r="39" spans="1:18" x14ac:dyDescent="0.2">
      <c r="O39" s="16"/>
      <c r="Q39" s="1"/>
      <c r="R39" s="21">
        <v>0.49999999999999989</v>
      </c>
    </row>
    <row r="40" spans="1:18" x14ac:dyDescent="0.2">
      <c r="O40" s="16"/>
      <c r="Q40" s="1"/>
      <c r="R40" s="21">
        <v>0.59999999999999987</v>
      </c>
    </row>
    <row r="41" spans="1:18" x14ac:dyDescent="0.2">
      <c r="O41" s="16"/>
      <c r="R41" s="22">
        <v>0.69999999999999984</v>
      </c>
    </row>
    <row r="42" spans="1:18" x14ac:dyDescent="0.2">
      <c r="O42" t="s">
        <v>83</v>
      </c>
    </row>
    <row r="43" spans="1:18" x14ac:dyDescent="0.2">
      <c r="O43" cm="1">
        <f t="array" ref="O43:O46">average_grad(P33:P36,O38,P38,Q38,R38:R41)</f>
        <v>0.4449999999999999</v>
      </c>
    </row>
    <row r="44" spans="1:18" x14ac:dyDescent="0.2">
      <c r="O44">
        <v>0.94999999999999973</v>
      </c>
    </row>
    <row r="45" spans="1:18" x14ac:dyDescent="0.2">
      <c r="O45">
        <v>1.1399999999999997</v>
      </c>
    </row>
    <row r="46" spans="1:18" x14ac:dyDescent="0.2">
      <c r="O46">
        <v>1.3299999999999996</v>
      </c>
    </row>
    <row r="48" spans="1:18" x14ac:dyDescent="0.2">
      <c r="O48" t="s">
        <v>82</v>
      </c>
      <c r="Q48" t="s">
        <v>81</v>
      </c>
    </row>
    <row r="49" spans="15:17" x14ac:dyDescent="0.2">
      <c r="O49" t="s">
        <v>80</v>
      </c>
      <c r="Q49" t="s">
        <v>80</v>
      </c>
    </row>
    <row r="50" spans="15:17" x14ac:dyDescent="0.2">
      <c r="O50" cm="1">
        <f t="array" ref="O50:O53">_xlfn.LAMBDA(_xlpm.p_data,_xlpm.lr,_xlpm.grad, _xlpm.p_data-_xlpm.lr*_xlpm.grad)(O33:O36,Q33,_xlfn.ANCHORARRAY(O43))</f>
        <v>0.55500000000000016</v>
      </c>
      <c r="Q50" cm="1">
        <f t="array" ref="Q50:Q53">momentum_step(O33:O36,Q33,_xlfn.ANCHORARRAY(O43))</f>
        <v>0.55500000000000016</v>
      </c>
    </row>
    <row r="51" spans="15:17" x14ac:dyDescent="0.2">
      <c r="O51">
        <v>1.0500000000000003</v>
      </c>
      <c r="Q51">
        <v>1.0500000000000003</v>
      </c>
    </row>
    <row r="52" spans="15:17" x14ac:dyDescent="0.2">
      <c r="O52">
        <v>1.8600000000000003</v>
      </c>
      <c r="Q52">
        <v>1.8600000000000003</v>
      </c>
    </row>
    <row r="53" spans="15:17" x14ac:dyDescent="0.2">
      <c r="O53">
        <v>2.6700000000000004</v>
      </c>
      <c r="Q53">
        <v>2.6700000000000004</v>
      </c>
    </row>
  </sheetData>
  <sortState xmlns:xlrd2="http://schemas.microsoft.com/office/spreadsheetml/2017/richdata2" ref="A5:A33">
    <sortCondition ref="A5:A33"/>
  </sortState>
  <dataValidations disablePrompts="1" count="2">
    <dataValidation type="list" allowBlank="1" showInputMessage="1" showErrorMessage="1" sqref="P38" xr:uid="{04A18BCB-313F-EB4C-8F65-0AB66F6DE779}">
      <formula1>"TRUE,FALSE"</formula1>
    </dataValidation>
    <dataValidation type="list" allowBlank="1" showInputMessage="1" showErrorMessage="1" sqref="Q38" xr:uid="{10253767-F0AD-B44C-A774-155205869AB4}">
      <formula1>"None, Check State"</formula1>
    </dataValidation>
  </dataValidation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average_grad</vt:lpstr>
      <vt:lpstr>momentum_step</vt:lpstr>
      <vt:lpstr>weight_decay vs l2_reg</vt:lpstr>
      <vt:lpstr>grad_ini</vt:lpstr>
      <vt:lpstr>last_grad</vt:lpstr>
      <vt:lpstr>p.grad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LiaoCan</dc:creator>
  <cp:lastModifiedBy>DanielLC</cp:lastModifiedBy>
  <dcterms:created xsi:type="dcterms:W3CDTF">2022-07-18T06:46:53Z</dcterms:created>
  <dcterms:modified xsi:type="dcterms:W3CDTF">2022-07-21T08:14:51Z</dcterms:modified>
</cp:coreProperties>
</file>