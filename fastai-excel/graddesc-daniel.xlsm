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0.xml" ContentType="application/vnd.openxmlformats-officedocument.drawing+xml"/>
  <Override PartName="/xl/ctrlProps/ctrlProp19.xml" ContentType="application/vnd.ms-excel.controlproperties+xml"/>
  <Override PartName="/xl/ctrlProps/ctrlProp20.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611" codeName="{A63ED3A1-9429-3D75-F2AA-CA7E51A8F3A1}"/>
  <workbookPr codeName="ThisWorkbook"/>
  <mc:AlternateContent xmlns:mc="http://schemas.openxmlformats.org/markup-compatibility/2006">
    <mc:Choice Requires="x15">
      <x15ac:absPath xmlns:x15ac="http://schemas.microsoft.com/office/spreadsheetml/2010/11/ac" url="/Users/Natsume/Documents/explore-fastai/fastai-excel/"/>
    </mc:Choice>
  </mc:AlternateContent>
  <xr:revisionPtr revIDLastSave="0" documentId="8_{712F2A10-2ACB-1242-AF9B-21B7A05A6C6C}" xr6:coauthVersionLast="47" xr6:coauthVersionMax="47" xr10:uidLastSave="{00000000-0000-0000-0000-000000000000}"/>
  <bookViews>
    <workbookView xWindow="0" yWindow="460" windowWidth="25580" windowHeight="15540" activeTab="4" xr2:uid="{00000000-000D-0000-FFFF-FFFF00000000}"/>
  </bookViews>
  <sheets>
    <sheet name="Intro" sheetId="20" r:id="rId1"/>
    <sheet name="data" sheetId="1" r:id="rId2"/>
    <sheet name="basic SGD" sheetId="3" r:id="rId3"/>
    <sheet name="basic SGD est" sheetId="23" r:id="rId4"/>
    <sheet name="basic SGD 2 neuron" sheetId="22" r:id="rId5"/>
    <sheet name="momentum" sheetId="18" r:id="rId6"/>
    <sheet name="adagrad" sheetId="2" r:id="rId7"/>
    <sheet name="rmsprop" sheetId="13" r:id="rId8"/>
    <sheet name="adam" sheetId="15" r:id="rId9"/>
    <sheet name="eve" sheetId="16" r:id="rId10"/>
    <sheet name="adagrad_ann" sheetId="6" r:id="rId11"/>
    <sheet name="adam_ann" sheetId="19" r:id="rId12"/>
  </sheets>
  <definedNames>
    <definedName name="avg_grad2" localSheetId="11">adam_ann!$N$33</definedName>
    <definedName name="const" localSheetId="6">adagrad!$C$1</definedName>
    <definedName name="const" localSheetId="10">adagrad_ann!$C$1</definedName>
    <definedName name="const" localSheetId="8">adam!$C$1</definedName>
    <definedName name="const" localSheetId="11">adam_ann!$C$1</definedName>
    <definedName name="const" localSheetId="2">'basic SGD'!$C$1</definedName>
    <definedName name="const" localSheetId="4">'basic SGD 2 neuron'!$C$1</definedName>
    <definedName name="const" localSheetId="3">'basic SGD est'!$C$1</definedName>
    <definedName name="const" localSheetId="9">eve!$C$1</definedName>
    <definedName name="const" localSheetId="5">momentum!$C$1</definedName>
    <definedName name="const" localSheetId="7">rmsprop!$C$1</definedName>
    <definedName name="const_2">#REF!</definedName>
    <definedName name="const2">'basic SGD 2 neuron'!$D$1</definedName>
    <definedName name="dt_1" localSheetId="9">eve!$F$37</definedName>
    <definedName name="dtee" localSheetId="9">eve!$F$38</definedName>
    <definedName name="ft_1" localSheetId="9">eve!$F$34</definedName>
    <definedName name="ft_2" localSheetId="9">eve!$F$35</definedName>
    <definedName name="gradrat" localSheetId="11">adam_ann!$N$34</definedName>
    <definedName name="gradtarget" localSheetId="6">adagrad!$F$1:$G$1</definedName>
    <definedName name="gradtarget" localSheetId="10">adagrad_ann!$F$1:$G$1</definedName>
    <definedName name="gradtarget" localSheetId="8">adam!$L$33:$M$33</definedName>
    <definedName name="gradtarget" localSheetId="11">adam_ann!$L$33:$M$33</definedName>
    <definedName name="gradtarget" localSheetId="2">'basic SGD'!$K$1:$L$1</definedName>
    <definedName name="gradtarget" localSheetId="4">'basic SGD 2 neuron'!$V$1:$W$1</definedName>
    <definedName name="gradtarget" localSheetId="3">'basic SGD est'!$K$1:$L$1</definedName>
    <definedName name="gradtarget" localSheetId="9">eve!$M$33:$N$33</definedName>
    <definedName name="gradtarget" localSheetId="5">momentum!#REF!</definedName>
    <definedName name="gradtarget" localSheetId="7">rmsprop!$J$33:$K$33</definedName>
    <definedName name="histgrad" localSheetId="6">adagrad!$F$33:$G$33</definedName>
    <definedName name="histgrad" localSheetId="10">adagrad_ann!$F$33:$G$33</definedName>
    <definedName name="histgrad" localSheetId="8">adam!$F$33:$G$33</definedName>
    <definedName name="histgrad" localSheetId="11">adam_ann!$F$33:$G$33</definedName>
    <definedName name="histgrad" localSheetId="2">'basic SGD'!$K$33:$L$33</definedName>
    <definedName name="histgrad" localSheetId="4">'basic SGD 2 neuron'!$V$36:$W$36</definedName>
    <definedName name="histgrad" localSheetId="3">'basic SGD est'!$K$33:$L$33</definedName>
    <definedName name="histgrad" localSheetId="9">eve!$G$33:$H$33</definedName>
    <definedName name="histgrad" localSheetId="5">momentum!$F$33:$G$33</definedName>
    <definedName name="histgrad" localSheetId="7">rmsprop!$F$33:$G$33</definedName>
    <definedName name="inter_b">#REF!</definedName>
    <definedName name="intercept_b">#REF!</definedName>
    <definedName name="intercept_d">#REF!</definedName>
    <definedName name="lastconst" localSheetId="6">adagrad!$H$32</definedName>
    <definedName name="lastconst" localSheetId="10">adagrad_ann!$C$32</definedName>
    <definedName name="lastconst" localSheetId="8">adam!$C$32</definedName>
    <definedName name="lastconst" localSheetId="11">adam_ann!$C$32</definedName>
    <definedName name="lastconst" localSheetId="2">'basic SGD'!$C$32</definedName>
    <definedName name="lastconst" localSheetId="4">'basic SGD 2 neuron'!$C$35</definedName>
    <definedName name="lastconst" localSheetId="3">'basic SGD est'!$C$32</definedName>
    <definedName name="lastconst" localSheetId="9">eve!$C$32</definedName>
    <definedName name="lastconst" localSheetId="5">momentum!$C$32</definedName>
    <definedName name="lastconst" localSheetId="7">rmsprop!$C$32</definedName>
    <definedName name="lastslope" localSheetId="6">adagrad!$I$32</definedName>
    <definedName name="lastslope" localSheetId="10">adagrad_ann!$D$32</definedName>
    <definedName name="lastslope" localSheetId="8">adam!$D$32</definedName>
    <definedName name="lastslope" localSheetId="11">adam_ann!$D$32</definedName>
    <definedName name="lastslope" localSheetId="2">'basic SGD'!$D$32</definedName>
    <definedName name="lastslope" localSheetId="4">'basic SGD 2 neuron'!$D$35</definedName>
    <definedName name="lastslope" localSheetId="3">'basic SGD est'!$D$32</definedName>
    <definedName name="lastslope" localSheetId="9">eve!$D$32</definedName>
    <definedName name="lastslope" localSheetId="5">momentum!$D$32</definedName>
    <definedName name="lastslope" localSheetId="7">rmsprop!$D$32</definedName>
    <definedName name="loss" localSheetId="9">eve!$F$33</definedName>
    <definedName name="lr" localSheetId="8">adam!$D$2</definedName>
    <definedName name="lr" localSheetId="11">adam_ann!$D$2</definedName>
    <definedName name="lr" localSheetId="9">eve!$D$2</definedName>
    <definedName name="lr" localSheetId="5">momentum!$D$2</definedName>
    <definedName name="max_clipped" localSheetId="8">adam!$O$34</definedName>
    <definedName name="max_clipped" localSheetId="11">adam_ann!$O$34</definedName>
    <definedName name="max_clipped" localSheetId="9">eve!$P$34</definedName>
    <definedName name="max_clipped" localSheetId="5">momentum!$M$34</definedName>
    <definedName name="max_clipped" localSheetId="7">rmsprop!$K$34</definedName>
    <definedName name="momlast" localSheetId="8">adam!$J$32:$K$32</definedName>
    <definedName name="momlast" localSheetId="11">adam_ann!$J$32:$K$32</definedName>
    <definedName name="momlast" localSheetId="9">eve!$K$32:$L$32</definedName>
    <definedName name="momlast" localSheetId="5">momentum!$J$32:$K$32</definedName>
    <definedName name="momtarget" localSheetId="8">adam!$J$33:$K$33</definedName>
    <definedName name="momtarget" localSheetId="11">adam_ann!$J$33:$K$33</definedName>
    <definedName name="momtarget" localSheetId="9">eve!$K$33:$L$33</definedName>
    <definedName name="momtarget" localSheetId="5">momentum!$J$33:$K$33</definedName>
    <definedName name="ms_last" localSheetId="8">adam!$L$32:$M$32</definedName>
    <definedName name="ms_last" localSheetId="11">adam_ann!$L$32:$M$32</definedName>
    <definedName name="ms_last" localSheetId="9">eve!$M$32:$N$32</definedName>
    <definedName name="ms_last" localSheetId="5">momentum!#REF!</definedName>
    <definedName name="ms_last" localSheetId="7">rmsprop!$J$32:$K$32</definedName>
    <definedName name="pct_clipped" localSheetId="8">adam!$O$33</definedName>
    <definedName name="pct_clipped" localSheetId="11">adam_ann!$O$33</definedName>
    <definedName name="pct_clipped" localSheetId="9">eve!$P$33</definedName>
    <definedName name="pct_clipped" localSheetId="5">momentum!$M$33</definedName>
    <definedName name="pct_clipped" localSheetId="7">rmsprop!#REF!</definedName>
    <definedName name="prev_grad2" localSheetId="11">adam_ann!$N$3</definedName>
    <definedName name="rmse" localSheetId="2">'basic SGD'!$F$33</definedName>
    <definedName name="rmse" localSheetId="4">'basic SGD 2 neuron'!$H$36</definedName>
    <definedName name="rmse" localSheetId="3">'basic SGD est'!$F$33</definedName>
    <definedName name="rmses" localSheetId="2">'basic SGD'!$C$38:$C$106</definedName>
    <definedName name="rmses" localSheetId="4">'basic SGD 2 neuron'!$C$41:$C$109</definedName>
    <definedName name="rmses" localSheetId="3">'basic SGD est'!$C$38:$C$106</definedName>
    <definedName name="rmsestart" localSheetId="2">'basic SGD'!$C$36</definedName>
    <definedName name="rmsestart" localSheetId="4">'basic SGD 2 neuron'!$C$39</definedName>
    <definedName name="rmsestart" localSheetId="3">'basic SGD est'!$C$36</definedName>
    <definedName name="rtee" localSheetId="9">eve!$F$36</definedName>
    <definedName name="slope" localSheetId="6">adagrad!$C$2</definedName>
    <definedName name="slope" localSheetId="10">adagrad_ann!$C$2</definedName>
    <definedName name="slope" localSheetId="8">adam!$C$2</definedName>
    <definedName name="slope" localSheetId="11">adam_ann!$C$2</definedName>
    <definedName name="slope" localSheetId="2">'basic SGD'!$C$2</definedName>
    <definedName name="slope" localSheetId="4">'basic SGD 2 neuron'!$C$2</definedName>
    <definedName name="slope" localSheetId="3">'basic SGD est'!$C$2</definedName>
    <definedName name="slope" localSheetId="9">eve!$C$2</definedName>
    <definedName name="slope" localSheetId="5">momentum!$C$2</definedName>
    <definedName name="slope" localSheetId="7">rmsprop!$C$2</definedName>
    <definedName name="slope_c">#REF!</definedName>
    <definedName name="slope2">'basic SGD 2 neuron'!$D$2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3" i="18" l="1"/>
  <c r="D4" i="23"/>
  <c r="C4" i="23"/>
  <c r="B7" i="1"/>
  <c r="F7" i="22"/>
  <c r="E7" i="22"/>
  <c r="D7" i="22"/>
  <c r="C7" i="22"/>
  <c r="F2" i="2"/>
  <c r="E4" i="23" l="1"/>
  <c r="K4" i="23" s="1"/>
  <c r="G4" i="23"/>
  <c r="I4" i="23"/>
  <c r="N33" i="19"/>
  <c r="F4" i="23" l="1"/>
  <c r="H4" i="23" s="1"/>
  <c r="N4" i="23" s="1"/>
  <c r="C5" i="23" s="1"/>
  <c r="L4" i="23"/>
  <c r="D4" i="19"/>
  <c r="C4" i="19"/>
  <c r="M3" i="19"/>
  <c r="L3" i="19"/>
  <c r="L34" i="19" s="1"/>
  <c r="K3" i="19"/>
  <c r="K34" i="19" s="1"/>
  <c r="J3" i="19"/>
  <c r="M1" i="19"/>
  <c r="K1" i="19"/>
  <c r="F36" i="16"/>
  <c r="F38" i="16" s="1"/>
  <c r="D4" i="18"/>
  <c r="C4" i="18"/>
  <c r="K3" i="18"/>
  <c r="K1" i="18"/>
  <c r="J4" i="23" l="1"/>
  <c r="M4" i="23" s="1"/>
  <c r="D5" i="23"/>
  <c r="F4" i="19"/>
  <c r="G4" i="19" s="1"/>
  <c r="K4" i="19" s="1"/>
  <c r="E4" i="19"/>
  <c r="F4" i="18"/>
  <c r="G4" i="18" s="1"/>
  <c r="K4" i="18" s="1"/>
  <c r="I4" i="18" s="1"/>
  <c r="D5" i="18" s="1"/>
  <c r="E4" i="18"/>
  <c r="D4" i="16"/>
  <c r="C4" i="16"/>
  <c r="N3" i="16"/>
  <c r="M3" i="16"/>
  <c r="L3" i="16"/>
  <c r="K3" i="16"/>
  <c r="N1" i="16"/>
  <c r="L1" i="16"/>
  <c r="E5" i="23" l="1"/>
  <c r="K5" i="23" s="1"/>
  <c r="I5" i="23"/>
  <c r="G5" i="23"/>
  <c r="J4" i="19"/>
  <c r="J5" i="19" s="1"/>
  <c r="M4" i="19"/>
  <c r="I4" i="19" s="1"/>
  <c r="D5" i="19" s="1"/>
  <c r="L4" i="19"/>
  <c r="J4" i="18"/>
  <c r="E4" i="16"/>
  <c r="F4" i="16" s="1"/>
  <c r="G4" i="16"/>
  <c r="H4" i="16" s="1"/>
  <c r="N4" i="16" s="1"/>
  <c r="K3" i="15"/>
  <c r="J3" i="15"/>
  <c r="K1" i="15"/>
  <c r="D4" i="15"/>
  <c r="C4" i="15"/>
  <c r="M3" i="15"/>
  <c r="L3" i="15"/>
  <c r="M1" i="15"/>
  <c r="F5" i="23" l="1"/>
  <c r="J5" i="23" s="1"/>
  <c r="M5" i="23" s="1"/>
  <c r="L5" i="23"/>
  <c r="H4" i="18"/>
  <c r="C5" i="18" s="1"/>
  <c r="H4" i="19"/>
  <c r="C5" i="19" s="1"/>
  <c r="E5" i="19" s="1"/>
  <c r="L4" i="16"/>
  <c r="K4" i="16"/>
  <c r="M4" i="16"/>
  <c r="F4" i="15"/>
  <c r="E4" i="15"/>
  <c r="K1" i="13"/>
  <c r="K3" i="13"/>
  <c r="J3" i="13"/>
  <c r="D4" i="13"/>
  <c r="C4" i="13"/>
  <c r="H5" i="23" l="1"/>
  <c r="N5" i="23" s="1"/>
  <c r="C6" i="23" s="1"/>
  <c r="D6" i="23"/>
  <c r="F5" i="18"/>
  <c r="J5" i="18" s="1"/>
  <c r="H5" i="18" s="1"/>
  <c r="C6" i="18" s="1"/>
  <c r="E5" i="18"/>
  <c r="F5" i="19"/>
  <c r="I4" i="16"/>
  <c r="C5" i="16" s="1"/>
  <c r="J4" i="16"/>
  <c r="D5" i="16" s="1"/>
  <c r="G4" i="15"/>
  <c r="J4" i="15"/>
  <c r="L4" i="15"/>
  <c r="F4" i="13"/>
  <c r="J4" i="13" s="1"/>
  <c r="E4" i="13"/>
  <c r="G6" i="23" l="1"/>
  <c r="I6" i="23"/>
  <c r="E6" i="23"/>
  <c r="G5" i="18"/>
  <c r="K5" i="18" s="1"/>
  <c r="I5" i="18" s="1"/>
  <c r="D6" i="18" s="1"/>
  <c r="G5" i="19"/>
  <c r="K5" i="19" s="1"/>
  <c r="L5" i="19"/>
  <c r="H5" i="19" s="1"/>
  <c r="E5" i="16"/>
  <c r="F5" i="16" s="1"/>
  <c r="G5" i="16"/>
  <c r="H5" i="16" s="1"/>
  <c r="H4" i="15"/>
  <c r="C5" i="15" s="1"/>
  <c r="K4" i="15"/>
  <c r="M4" i="15"/>
  <c r="G4" i="13"/>
  <c r="H4" i="13"/>
  <c r="C5" i="13" s="1"/>
  <c r="F6" i="23" l="1"/>
  <c r="J6" i="23" s="1"/>
  <c r="M6" i="23" s="1"/>
  <c r="K6" i="23"/>
  <c r="M5" i="19"/>
  <c r="I5" i="19" s="1"/>
  <c r="D6" i="19" s="1"/>
  <c r="C6" i="19"/>
  <c r="F6" i="18"/>
  <c r="E6" i="18"/>
  <c r="M5" i="16"/>
  <c r="K5" i="16"/>
  <c r="L5" i="16"/>
  <c r="N5" i="16"/>
  <c r="I4" i="15"/>
  <c r="D5" i="15" s="1"/>
  <c r="F5" i="15" s="1"/>
  <c r="K4" i="13"/>
  <c r="I4" i="13"/>
  <c r="D5" i="13" s="1"/>
  <c r="L6" i="23" l="1"/>
  <c r="H6" i="23"/>
  <c r="N6" i="23" s="1"/>
  <c r="C7" i="23" s="1"/>
  <c r="F6" i="19"/>
  <c r="G6" i="19" s="1"/>
  <c r="E6" i="19"/>
  <c r="I5" i="16"/>
  <c r="C6" i="16" s="1"/>
  <c r="J5" i="16"/>
  <c r="D6" i="16" s="1"/>
  <c r="G6" i="18"/>
  <c r="J6" i="18"/>
  <c r="H6" i="18" s="1"/>
  <c r="E5" i="15"/>
  <c r="J5" i="15"/>
  <c r="L5" i="15"/>
  <c r="G5" i="15"/>
  <c r="F5" i="13"/>
  <c r="E5" i="13"/>
  <c r="D4" i="6"/>
  <c r="C4" i="6"/>
  <c r="G2" i="6"/>
  <c r="F2" i="6"/>
  <c r="D7" i="23" l="1"/>
  <c r="J6" i="19"/>
  <c r="L6" i="19"/>
  <c r="C7" i="18"/>
  <c r="K6" i="18"/>
  <c r="I6" i="18" s="1"/>
  <c r="G6" i="16"/>
  <c r="E6" i="16"/>
  <c r="F6" i="16" s="1"/>
  <c r="H5" i="15"/>
  <c r="C6" i="15" s="1"/>
  <c r="K5" i="15"/>
  <c r="M5" i="15"/>
  <c r="J5" i="13"/>
  <c r="H5" i="13"/>
  <c r="C6" i="13" s="1"/>
  <c r="G5" i="13"/>
  <c r="E4" i="6"/>
  <c r="F4" i="6"/>
  <c r="D4" i="3"/>
  <c r="C4" i="3"/>
  <c r="G2" i="2"/>
  <c r="D4" i="2"/>
  <c r="E7" i="1"/>
  <c r="B8" i="1"/>
  <c r="E8" i="1" s="1"/>
  <c r="B9" i="1"/>
  <c r="B10" i="1"/>
  <c r="B11" i="1"/>
  <c r="B12" i="1"/>
  <c r="B13" i="1"/>
  <c r="B14" i="1"/>
  <c r="B15" i="1"/>
  <c r="B16" i="1"/>
  <c r="B17" i="1"/>
  <c r="B18" i="1"/>
  <c r="B19" i="1"/>
  <c r="B20" i="1"/>
  <c r="B21" i="1"/>
  <c r="B22" i="1"/>
  <c r="B23" i="1"/>
  <c r="B24" i="1"/>
  <c r="B25" i="1"/>
  <c r="B26" i="1"/>
  <c r="B27" i="1"/>
  <c r="B28" i="1"/>
  <c r="B29" i="1"/>
  <c r="B30" i="1"/>
  <c r="B31" i="1"/>
  <c r="B32" i="1"/>
  <c r="B33" i="1"/>
  <c r="B34" i="1"/>
  <c r="E6" i="1"/>
  <c r="G7" i="23" l="1"/>
  <c r="E7" i="23"/>
  <c r="K7" i="23" s="1"/>
  <c r="I7" i="23"/>
  <c r="C27" i="1"/>
  <c r="E27" i="1"/>
  <c r="C34" i="1"/>
  <c r="E34" i="1"/>
  <c r="C30" i="1"/>
  <c r="E30" i="1"/>
  <c r="C26" i="1"/>
  <c r="E26" i="1"/>
  <c r="C22" i="1"/>
  <c r="E22" i="1"/>
  <c r="C18" i="1"/>
  <c r="E18" i="1"/>
  <c r="C14" i="1"/>
  <c r="E14" i="1"/>
  <c r="C10" i="1"/>
  <c r="E10" i="1"/>
  <c r="C33" i="1"/>
  <c r="E33" i="1"/>
  <c r="C29" i="1"/>
  <c r="E29" i="1"/>
  <c r="C25" i="1"/>
  <c r="E25" i="1"/>
  <c r="C21" i="1"/>
  <c r="E21" i="1"/>
  <c r="C17" i="1"/>
  <c r="E17" i="1"/>
  <c r="C13" i="1"/>
  <c r="E13" i="1"/>
  <c r="C9" i="1"/>
  <c r="E9" i="1"/>
  <c r="C32" i="1"/>
  <c r="E32" i="1"/>
  <c r="C28" i="1"/>
  <c r="E28" i="1"/>
  <c r="C24" i="1"/>
  <c r="E24" i="1"/>
  <c r="C20" i="1"/>
  <c r="E20" i="1"/>
  <c r="C16" i="1"/>
  <c r="E16" i="1"/>
  <c r="C12" i="1"/>
  <c r="E12" i="1"/>
  <c r="C31" i="1"/>
  <c r="E31" i="1"/>
  <c r="C23" i="1"/>
  <c r="E23" i="1"/>
  <c r="C19" i="1"/>
  <c r="E19" i="1"/>
  <c r="C15" i="1"/>
  <c r="E15" i="1"/>
  <c r="C11" i="1"/>
  <c r="E11" i="1"/>
  <c r="C8" i="1"/>
  <c r="C7" i="1"/>
  <c r="C6" i="1"/>
  <c r="G4" i="3"/>
  <c r="E4" i="3"/>
  <c r="H6" i="19"/>
  <c r="C7" i="19" s="1"/>
  <c r="K6" i="19"/>
  <c r="M6" i="19"/>
  <c r="D7" i="18"/>
  <c r="H6" i="16"/>
  <c r="M6" i="16"/>
  <c r="K6" i="16"/>
  <c r="I5" i="15"/>
  <c r="D6" i="15" s="1"/>
  <c r="F6" i="15" s="1"/>
  <c r="I5" i="13"/>
  <c r="D6" i="13" s="1"/>
  <c r="K5" i="13"/>
  <c r="G4" i="6"/>
  <c r="I4" i="6"/>
  <c r="C5" i="6" s="1"/>
  <c r="I4" i="3"/>
  <c r="C4" i="2"/>
  <c r="F4" i="2" s="1"/>
  <c r="F7" i="23" l="1"/>
  <c r="H7" i="23" s="1"/>
  <c r="N7" i="23" s="1"/>
  <c r="C8" i="23" s="1"/>
  <c r="L7" i="23"/>
  <c r="H4" i="2"/>
  <c r="I6" i="19"/>
  <c r="D7" i="19" s="1"/>
  <c r="I6" i="16"/>
  <c r="C7" i="16" s="1"/>
  <c r="E7" i="18"/>
  <c r="F7" i="18"/>
  <c r="N6" i="16"/>
  <c r="L6" i="16"/>
  <c r="E6" i="15"/>
  <c r="G6" i="15"/>
  <c r="L6" i="15"/>
  <c r="J6" i="15"/>
  <c r="F6" i="13"/>
  <c r="J6" i="13" s="1"/>
  <c r="E6" i="13"/>
  <c r="F4" i="3"/>
  <c r="J4" i="3" s="1"/>
  <c r="K4" i="3"/>
  <c r="N4" i="3" s="1"/>
  <c r="C5" i="3" s="1"/>
  <c r="G4" i="2"/>
  <c r="I4" i="2" s="1"/>
  <c r="H4" i="6"/>
  <c r="D5" i="6" s="1"/>
  <c r="E5" i="6" s="1"/>
  <c r="E4" i="2"/>
  <c r="J7" i="23" l="1"/>
  <c r="M7" i="23" s="1"/>
  <c r="D8" i="23" s="1"/>
  <c r="H4" i="3"/>
  <c r="F7" i="19"/>
  <c r="E7" i="19"/>
  <c r="J6" i="16"/>
  <c r="D7" i="16" s="1"/>
  <c r="G7" i="18"/>
  <c r="J7" i="18"/>
  <c r="H7" i="18" s="1"/>
  <c r="H6" i="15"/>
  <c r="C7" i="15" s="1"/>
  <c r="M6" i="15"/>
  <c r="K6" i="15"/>
  <c r="H6" i="13"/>
  <c r="C7" i="13" s="1"/>
  <c r="G6" i="13"/>
  <c r="K6" i="13" s="1"/>
  <c r="L4" i="3"/>
  <c r="M4" i="3" s="1"/>
  <c r="D5" i="3" s="1"/>
  <c r="E5" i="3" s="1"/>
  <c r="F5" i="3" s="1"/>
  <c r="D5" i="2"/>
  <c r="F5" i="6"/>
  <c r="C5" i="2"/>
  <c r="I8" i="23" l="1"/>
  <c r="E8" i="23"/>
  <c r="G8" i="23"/>
  <c r="G7" i="19"/>
  <c r="L7" i="19"/>
  <c r="J7" i="19"/>
  <c r="E7" i="16"/>
  <c r="F7" i="16" s="1"/>
  <c r="K7" i="18"/>
  <c r="I7" i="18" s="1"/>
  <c r="C8" i="18"/>
  <c r="G7" i="16"/>
  <c r="I6" i="15"/>
  <c r="D7" i="15" s="1"/>
  <c r="I6" i="13"/>
  <c r="D7" i="13" s="1"/>
  <c r="G5" i="6"/>
  <c r="I5" i="6"/>
  <c r="C6" i="6" s="1"/>
  <c r="G5" i="3"/>
  <c r="I5" i="3"/>
  <c r="F5" i="2"/>
  <c r="E5" i="2"/>
  <c r="K8" i="23" l="1"/>
  <c r="F8" i="23"/>
  <c r="H8" i="23" s="1"/>
  <c r="N8" i="23" s="1"/>
  <c r="H5" i="2"/>
  <c r="C6" i="2" s="1"/>
  <c r="H7" i="19"/>
  <c r="C8" i="19" s="1"/>
  <c r="M7" i="19"/>
  <c r="K7" i="19"/>
  <c r="D8" i="18"/>
  <c r="H7" i="16"/>
  <c r="M7" i="16"/>
  <c r="K7" i="16"/>
  <c r="F7" i="15"/>
  <c r="E7" i="15"/>
  <c r="F7" i="13"/>
  <c r="E7" i="13"/>
  <c r="J5" i="3"/>
  <c r="K5" i="3"/>
  <c r="N5" i="3" s="1"/>
  <c r="C6" i="3" s="1"/>
  <c r="H5" i="6"/>
  <c r="D6" i="6" s="1"/>
  <c r="G5" i="2"/>
  <c r="I5" i="2" s="1"/>
  <c r="J8" i="23" l="1"/>
  <c r="M8" i="23" s="1"/>
  <c r="L8" i="23"/>
  <c r="C9" i="23"/>
  <c r="I7" i="19"/>
  <c r="D8" i="19" s="1"/>
  <c r="E8" i="19" s="1"/>
  <c r="I7" i="16"/>
  <c r="C8" i="16" s="1"/>
  <c r="E8" i="18"/>
  <c r="F8" i="18"/>
  <c r="N7" i="16"/>
  <c r="L7" i="16"/>
  <c r="J7" i="15"/>
  <c r="L7" i="15"/>
  <c r="G7" i="15"/>
  <c r="J7" i="13"/>
  <c r="H7" i="13"/>
  <c r="C8" i="13" s="1"/>
  <c r="G7" i="13"/>
  <c r="H5" i="3"/>
  <c r="L5" i="3"/>
  <c r="M5" i="3" s="1"/>
  <c r="D6" i="3" s="1"/>
  <c r="D6" i="2"/>
  <c r="E6" i="6"/>
  <c r="F6" i="6"/>
  <c r="D9" i="23" l="1"/>
  <c r="G6" i="3"/>
  <c r="I6" i="3"/>
  <c r="E6" i="3"/>
  <c r="F8" i="19"/>
  <c r="J7" i="16"/>
  <c r="D8" i="16" s="1"/>
  <c r="G8" i="18"/>
  <c r="J8" i="18"/>
  <c r="H8" i="18" s="1"/>
  <c r="H7" i="15"/>
  <c r="C8" i="15" s="1"/>
  <c r="M7" i="15"/>
  <c r="K7" i="15"/>
  <c r="K7" i="13"/>
  <c r="I7" i="13"/>
  <c r="D8" i="13" s="1"/>
  <c r="G6" i="6"/>
  <c r="I6" i="6"/>
  <c r="C7" i="6" s="1"/>
  <c r="E6" i="2"/>
  <c r="F6" i="2"/>
  <c r="E9" i="23" l="1"/>
  <c r="K9" i="23" s="1"/>
  <c r="G9" i="23"/>
  <c r="I9" i="23"/>
  <c r="K6" i="3"/>
  <c r="F6" i="3"/>
  <c r="J6" i="3" s="1"/>
  <c r="E8" i="13"/>
  <c r="F8" i="13"/>
  <c r="H6" i="2"/>
  <c r="C7" i="2" s="1"/>
  <c r="G8" i="19"/>
  <c r="J8" i="19"/>
  <c r="L8" i="19"/>
  <c r="C9" i="18"/>
  <c r="K8" i="18"/>
  <c r="I8" i="18" s="1"/>
  <c r="G8" i="16"/>
  <c r="E8" i="16"/>
  <c r="F8" i="16" s="1"/>
  <c r="I7" i="15"/>
  <c r="D8" i="15" s="1"/>
  <c r="E8" i="15" s="1"/>
  <c r="H6" i="6"/>
  <c r="D7" i="6" s="1"/>
  <c r="G6" i="2"/>
  <c r="I6" i="2" s="1"/>
  <c r="F9" i="23" l="1"/>
  <c r="H9" i="23" s="1"/>
  <c r="N9" i="23" s="1"/>
  <c r="C10" i="23" s="1"/>
  <c r="L9" i="23"/>
  <c r="H6" i="3"/>
  <c r="L6" i="3"/>
  <c r="M6" i="3" s="1"/>
  <c r="D7" i="3" s="1"/>
  <c r="N6" i="3"/>
  <c r="C7" i="3" s="1"/>
  <c r="H8" i="19"/>
  <c r="C9" i="19" s="1"/>
  <c r="M8" i="19"/>
  <c r="K8" i="19"/>
  <c r="D9" i="18"/>
  <c r="H8" i="16"/>
  <c r="M8" i="16"/>
  <c r="K8" i="16"/>
  <c r="F8" i="15"/>
  <c r="J8" i="13"/>
  <c r="H8" i="13"/>
  <c r="C9" i="13" s="1"/>
  <c r="G8" i="13"/>
  <c r="D7" i="2"/>
  <c r="E7" i="6"/>
  <c r="F7" i="6"/>
  <c r="J9" i="23" l="1"/>
  <c r="M9" i="23" s="1"/>
  <c r="D10" i="23" s="1"/>
  <c r="E7" i="3"/>
  <c r="G7" i="3"/>
  <c r="I7" i="3"/>
  <c r="I8" i="19"/>
  <c r="D9" i="19" s="1"/>
  <c r="I8" i="16"/>
  <c r="C9" i="16" s="1"/>
  <c r="E9" i="18"/>
  <c r="F9" i="18"/>
  <c r="N8" i="16"/>
  <c r="L8" i="16"/>
  <c r="L8" i="15"/>
  <c r="J8" i="15"/>
  <c r="G8" i="15"/>
  <c r="K8" i="13"/>
  <c r="I8" i="13"/>
  <c r="D9" i="13" s="1"/>
  <c r="G7" i="6"/>
  <c r="I7" i="6"/>
  <c r="C8" i="6" s="1"/>
  <c r="E7" i="2"/>
  <c r="F7" i="2"/>
  <c r="E10" i="23" l="1"/>
  <c r="F10" i="23" s="1"/>
  <c r="G10" i="23"/>
  <c r="I10" i="23"/>
  <c r="K7" i="3"/>
  <c r="F7" i="3"/>
  <c r="J7" i="3" s="1"/>
  <c r="H7" i="2"/>
  <c r="C8" i="2" s="1"/>
  <c r="F9" i="19"/>
  <c r="E9" i="19"/>
  <c r="J8" i="16"/>
  <c r="D9" i="16" s="1"/>
  <c r="G9" i="18"/>
  <c r="J9" i="18"/>
  <c r="H9" i="18" s="1"/>
  <c r="H8" i="15"/>
  <c r="C9" i="15" s="1"/>
  <c r="K8" i="15"/>
  <c r="M8" i="15"/>
  <c r="F9" i="13"/>
  <c r="E9" i="13"/>
  <c r="H7" i="6"/>
  <c r="D8" i="6" s="1"/>
  <c r="G7" i="2"/>
  <c r="I7" i="2" s="1"/>
  <c r="H10" i="23" l="1"/>
  <c r="N10" i="23" s="1"/>
  <c r="C11" i="23" s="1"/>
  <c r="K10" i="23"/>
  <c r="L10" i="23" s="1"/>
  <c r="J10" i="23"/>
  <c r="M10" i="23" s="1"/>
  <c r="L7" i="3"/>
  <c r="M7" i="3" s="1"/>
  <c r="D8" i="3" s="1"/>
  <c r="N7" i="3"/>
  <c r="C8" i="3" s="1"/>
  <c r="H7" i="3"/>
  <c r="G9" i="19"/>
  <c r="L9" i="19"/>
  <c r="J9" i="19"/>
  <c r="E9" i="16"/>
  <c r="F9" i="16" s="1"/>
  <c r="C10" i="18"/>
  <c r="K9" i="18"/>
  <c r="I9" i="18" s="1"/>
  <c r="G9" i="16"/>
  <c r="I8" i="15"/>
  <c r="D9" i="15" s="1"/>
  <c r="F9" i="15" s="1"/>
  <c r="J9" i="13"/>
  <c r="G9" i="13"/>
  <c r="H9" i="13"/>
  <c r="C10" i="13" s="1"/>
  <c r="D8" i="2"/>
  <c r="E8" i="6"/>
  <c r="F8" i="6"/>
  <c r="D11" i="23" l="1"/>
  <c r="I8" i="3"/>
  <c r="G8" i="3"/>
  <c r="E8" i="3"/>
  <c r="H9" i="19"/>
  <c r="C10" i="19" s="1"/>
  <c r="M9" i="19"/>
  <c r="K9" i="19"/>
  <c r="D10" i="18"/>
  <c r="H9" i="16"/>
  <c r="K9" i="16"/>
  <c r="M9" i="16"/>
  <c r="G9" i="15"/>
  <c r="L9" i="15"/>
  <c r="J9" i="15"/>
  <c r="E9" i="15"/>
  <c r="K9" i="13"/>
  <c r="I9" i="13"/>
  <c r="D10" i="13" s="1"/>
  <c r="E8" i="2"/>
  <c r="G8" i="6"/>
  <c r="I8" i="6"/>
  <c r="C9" i="6" s="1"/>
  <c r="F8" i="2"/>
  <c r="E11" i="23" l="1"/>
  <c r="K11" i="23" s="1"/>
  <c r="G11" i="23"/>
  <c r="I11" i="23"/>
  <c r="K8" i="3"/>
  <c r="F8" i="3"/>
  <c r="H8" i="2"/>
  <c r="C9" i="2" s="1"/>
  <c r="I9" i="19"/>
  <c r="D10" i="19" s="1"/>
  <c r="E10" i="19" s="1"/>
  <c r="I9" i="16"/>
  <c r="C10" i="16" s="1"/>
  <c r="E10" i="18"/>
  <c r="F10" i="18"/>
  <c r="L9" i="16"/>
  <c r="N9" i="16"/>
  <c r="K9" i="15"/>
  <c r="M9" i="15"/>
  <c r="H9" i="15"/>
  <c r="C10" i="15" s="1"/>
  <c r="E10" i="13"/>
  <c r="F10" i="13"/>
  <c r="H8" i="6"/>
  <c r="D9" i="6" s="1"/>
  <c r="G8" i="2"/>
  <c r="I8" i="2" s="1"/>
  <c r="F11" i="23" l="1"/>
  <c r="H11" i="23" s="1"/>
  <c r="N11" i="23" s="1"/>
  <c r="C12" i="23" s="1"/>
  <c r="L11" i="23"/>
  <c r="L8" i="3"/>
  <c r="M8" i="3" s="1"/>
  <c r="D9" i="3" s="1"/>
  <c r="N8" i="3"/>
  <c r="C9" i="3" s="1"/>
  <c r="H8" i="3"/>
  <c r="J8" i="3"/>
  <c r="F10" i="19"/>
  <c r="J9" i="16"/>
  <c r="D10" i="16" s="1"/>
  <c r="G10" i="18"/>
  <c r="J10" i="18"/>
  <c r="H10" i="18" s="1"/>
  <c r="I9" i="15"/>
  <c r="D10" i="15" s="1"/>
  <c r="F10" i="15" s="1"/>
  <c r="J10" i="13"/>
  <c r="G10" i="13"/>
  <c r="H10" i="13"/>
  <c r="C11" i="13" s="1"/>
  <c r="D9" i="2"/>
  <c r="F9" i="6"/>
  <c r="E9" i="6"/>
  <c r="J11" i="23" l="1"/>
  <c r="M11" i="23" s="1"/>
  <c r="D12" i="23" s="1"/>
  <c r="G9" i="3"/>
  <c r="E9" i="3"/>
  <c r="I9" i="3"/>
  <c r="G10" i="19"/>
  <c r="J10" i="19"/>
  <c r="L10" i="19"/>
  <c r="C11" i="18"/>
  <c r="K10" i="18"/>
  <c r="I10" i="18" s="1"/>
  <c r="G10" i="16"/>
  <c r="E10" i="16"/>
  <c r="F10" i="16" s="1"/>
  <c r="E10" i="15"/>
  <c r="J10" i="15"/>
  <c r="G10" i="15"/>
  <c r="L10" i="15"/>
  <c r="K10" i="13"/>
  <c r="I10" i="13"/>
  <c r="D11" i="13" s="1"/>
  <c r="E9" i="2"/>
  <c r="G9" i="6"/>
  <c r="H9" i="6" s="1"/>
  <c r="D10" i="6" s="1"/>
  <c r="I9" i="6"/>
  <c r="C10" i="6" s="1"/>
  <c r="F9" i="2"/>
  <c r="H9" i="2" s="1"/>
  <c r="E12" i="23" l="1"/>
  <c r="F12" i="23" s="1"/>
  <c r="I12" i="23"/>
  <c r="G12" i="23"/>
  <c r="K9" i="3"/>
  <c r="F9" i="3"/>
  <c r="J9" i="3" s="1"/>
  <c r="H10" i="19"/>
  <c r="C11" i="19" s="1"/>
  <c r="M10" i="19"/>
  <c r="K10" i="19"/>
  <c r="D11" i="18"/>
  <c r="H10" i="16"/>
  <c r="M10" i="16"/>
  <c r="K10" i="16"/>
  <c r="K10" i="15"/>
  <c r="H10" i="15"/>
  <c r="C11" i="15" s="1"/>
  <c r="M10" i="15"/>
  <c r="F11" i="13"/>
  <c r="E11" i="13"/>
  <c r="C10" i="2"/>
  <c r="E10" i="6"/>
  <c r="F10" i="6"/>
  <c r="G10" i="6" s="1"/>
  <c r="H10" i="6" s="1"/>
  <c r="D11" i="6" s="1"/>
  <c r="G9" i="2"/>
  <c r="I9" i="2" s="1"/>
  <c r="K12" i="23" l="1"/>
  <c r="L12" i="23" s="1"/>
  <c r="H12" i="23"/>
  <c r="N12" i="23" s="1"/>
  <c r="C13" i="23" s="1"/>
  <c r="J12" i="23"/>
  <c r="M12" i="23" s="1"/>
  <c r="L9" i="3"/>
  <c r="M9" i="3" s="1"/>
  <c r="D10" i="3" s="1"/>
  <c r="N9" i="3"/>
  <c r="C10" i="3" s="1"/>
  <c r="H9" i="3"/>
  <c r="I10" i="19"/>
  <c r="D11" i="19" s="1"/>
  <c r="E11" i="19" s="1"/>
  <c r="I10" i="16"/>
  <c r="C11" i="16" s="1"/>
  <c r="E11" i="18"/>
  <c r="F11" i="18"/>
  <c r="N10" i="16"/>
  <c r="L10" i="16"/>
  <c r="I10" i="15"/>
  <c r="D11" i="15" s="1"/>
  <c r="E11" i="15" s="1"/>
  <c r="J11" i="13"/>
  <c r="G11" i="13"/>
  <c r="H11" i="13"/>
  <c r="C12" i="13" s="1"/>
  <c r="D10" i="2"/>
  <c r="I10" i="6"/>
  <c r="C11" i="6" s="1"/>
  <c r="D13" i="23" l="1"/>
  <c r="I10" i="3"/>
  <c r="E10" i="3"/>
  <c r="G10" i="3"/>
  <c r="F11" i="19"/>
  <c r="J10" i="16"/>
  <c r="D11" i="16" s="1"/>
  <c r="G11" i="18"/>
  <c r="J11" i="18"/>
  <c r="H11" i="18" s="1"/>
  <c r="F11" i="15"/>
  <c r="K11" i="13"/>
  <c r="I11" i="13"/>
  <c r="D12" i="13" s="1"/>
  <c r="E10" i="2"/>
  <c r="E11" i="6"/>
  <c r="F11" i="6"/>
  <c r="G11" i="6" s="1"/>
  <c r="H11" i="6" s="1"/>
  <c r="D12" i="6" s="1"/>
  <c r="F10" i="2"/>
  <c r="H10" i="2" s="1"/>
  <c r="E13" i="23" l="1"/>
  <c r="K13" i="23" s="1"/>
  <c r="G13" i="23"/>
  <c r="I13" i="23"/>
  <c r="F10" i="3"/>
  <c r="J10" i="3" s="1"/>
  <c r="K10" i="3"/>
  <c r="G11" i="19"/>
  <c r="L11" i="19"/>
  <c r="J11" i="19"/>
  <c r="E11" i="16"/>
  <c r="F11" i="16" s="1"/>
  <c r="C12" i="18"/>
  <c r="K11" i="18"/>
  <c r="I11" i="18" s="1"/>
  <c r="G11" i="16"/>
  <c r="G11" i="15"/>
  <c r="L11" i="15"/>
  <c r="J11" i="15"/>
  <c r="E12" i="13"/>
  <c r="F12" i="13"/>
  <c r="C11" i="2"/>
  <c r="I11" i="6"/>
  <c r="C12" i="6" s="1"/>
  <c r="G10" i="2"/>
  <c r="I10" i="2" s="1"/>
  <c r="F13" i="23" l="1"/>
  <c r="J13" i="23" s="1"/>
  <c r="M13" i="23" s="1"/>
  <c r="L13" i="23"/>
  <c r="H10" i="3"/>
  <c r="L10" i="3"/>
  <c r="M10" i="3" s="1"/>
  <c r="D11" i="3" s="1"/>
  <c r="N10" i="3"/>
  <c r="C11" i="3" s="1"/>
  <c r="H11" i="19"/>
  <c r="C12" i="19" s="1"/>
  <c r="M11" i="19"/>
  <c r="K11" i="19"/>
  <c r="D12" i="18"/>
  <c r="H11" i="16"/>
  <c r="K11" i="16"/>
  <c r="M11" i="16"/>
  <c r="K11" i="15"/>
  <c r="M11" i="15"/>
  <c r="H11" i="15"/>
  <c r="C12" i="15" s="1"/>
  <c r="J12" i="13"/>
  <c r="H12" i="13"/>
  <c r="C13" i="13" s="1"/>
  <c r="G12" i="13"/>
  <c r="D11" i="2"/>
  <c r="E12" i="6"/>
  <c r="F12" i="6"/>
  <c r="G12" i="6" s="1"/>
  <c r="H12" i="6" s="1"/>
  <c r="D13" i="6" s="1"/>
  <c r="H13" i="23" l="1"/>
  <c r="N13" i="23" s="1"/>
  <c r="C14" i="23" s="1"/>
  <c r="D14" i="23"/>
  <c r="I11" i="3"/>
  <c r="E11" i="3"/>
  <c r="G11" i="3"/>
  <c r="I11" i="19"/>
  <c r="D12" i="19" s="1"/>
  <c r="I11" i="16"/>
  <c r="C12" i="16" s="1"/>
  <c r="E12" i="18"/>
  <c r="F12" i="18"/>
  <c r="L11" i="16"/>
  <c r="N11" i="16"/>
  <c r="I11" i="15"/>
  <c r="D12" i="15" s="1"/>
  <c r="E12" i="15" s="1"/>
  <c r="K12" i="13"/>
  <c r="I12" i="13"/>
  <c r="D13" i="13" s="1"/>
  <c r="E13" i="13" s="1"/>
  <c r="E11" i="2"/>
  <c r="I12" i="6"/>
  <c r="C13" i="6" s="1"/>
  <c r="F11" i="2"/>
  <c r="H11" i="2" s="1"/>
  <c r="I14" i="23" l="1"/>
  <c r="E14" i="23"/>
  <c r="F14" i="23" s="1"/>
  <c r="G14" i="23"/>
  <c r="F11" i="3"/>
  <c r="J11" i="3" s="1"/>
  <c r="K11" i="3"/>
  <c r="F12" i="19"/>
  <c r="E12" i="19"/>
  <c r="J11" i="16"/>
  <c r="D12" i="16" s="1"/>
  <c r="G12" i="18"/>
  <c r="J12" i="18"/>
  <c r="H12" i="18" s="1"/>
  <c r="F12" i="15"/>
  <c r="F13" i="13"/>
  <c r="C12" i="2"/>
  <c r="E13" i="6"/>
  <c r="F13" i="6"/>
  <c r="G13" i="6" s="1"/>
  <c r="H13" i="6" s="1"/>
  <c r="D14" i="6" s="1"/>
  <c r="G11" i="2"/>
  <c r="I11" i="2" s="1"/>
  <c r="J14" i="23" l="1"/>
  <c r="M14" i="23" s="1"/>
  <c r="K14" i="23"/>
  <c r="L14" i="23" s="1"/>
  <c r="H14" i="23"/>
  <c r="N14" i="23" s="1"/>
  <c r="C15" i="23" s="1"/>
  <c r="H11" i="3"/>
  <c r="L11" i="3"/>
  <c r="M11" i="3" s="1"/>
  <c r="D12" i="3" s="1"/>
  <c r="N11" i="3"/>
  <c r="C12" i="3" s="1"/>
  <c r="G12" i="19"/>
  <c r="J12" i="19"/>
  <c r="L12" i="19"/>
  <c r="E12" i="16"/>
  <c r="F12" i="16" s="1"/>
  <c r="C13" i="18"/>
  <c r="K12" i="18"/>
  <c r="I12" i="18" s="1"/>
  <c r="G12" i="16"/>
  <c r="L12" i="15"/>
  <c r="G12" i="15"/>
  <c r="J12" i="15"/>
  <c r="J13" i="13"/>
  <c r="G13" i="13"/>
  <c r="H13" i="13"/>
  <c r="C14" i="13" s="1"/>
  <c r="D12" i="2"/>
  <c r="I13" i="6"/>
  <c r="C14" i="6" s="1"/>
  <c r="D15" i="23" l="1"/>
  <c r="I12" i="3"/>
  <c r="E12" i="3"/>
  <c r="G12" i="3"/>
  <c r="H12" i="19"/>
  <c r="C13" i="19" s="1"/>
  <c r="K12" i="19"/>
  <c r="M12" i="19"/>
  <c r="D13" i="18"/>
  <c r="H12" i="16"/>
  <c r="K12" i="16"/>
  <c r="M12" i="16"/>
  <c r="H12" i="15"/>
  <c r="C13" i="15" s="1"/>
  <c r="K12" i="15"/>
  <c r="M12" i="15"/>
  <c r="K13" i="13"/>
  <c r="I13" i="13"/>
  <c r="D14" i="13" s="1"/>
  <c r="E12" i="2"/>
  <c r="E14" i="6"/>
  <c r="F14" i="6"/>
  <c r="G14" i="6" s="1"/>
  <c r="H14" i="6" s="1"/>
  <c r="D15" i="6" s="1"/>
  <c r="F12" i="2"/>
  <c r="H12" i="2" s="1"/>
  <c r="I15" i="23" l="1"/>
  <c r="E15" i="23"/>
  <c r="F15" i="23" s="1"/>
  <c r="G15" i="23"/>
  <c r="F12" i="3"/>
  <c r="K12" i="3"/>
  <c r="I12" i="19"/>
  <c r="D13" i="19" s="1"/>
  <c r="I12" i="16"/>
  <c r="C13" i="16" s="1"/>
  <c r="F13" i="18"/>
  <c r="E13" i="18"/>
  <c r="N12" i="16"/>
  <c r="L12" i="16"/>
  <c r="I12" i="15"/>
  <c r="D13" i="15" s="1"/>
  <c r="F13" i="15" s="1"/>
  <c r="F14" i="13"/>
  <c r="E14" i="13"/>
  <c r="C13" i="2"/>
  <c r="I14" i="6"/>
  <c r="C15" i="6" s="1"/>
  <c r="G12" i="2"/>
  <c r="I12" i="2" s="1"/>
  <c r="H15" i="23" l="1"/>
  <c r="N15" i="23" s="1"/>
  <c r="K15" i="23"/>
  <c r="L15" i="23" s="1"/>
  <c r="J15" i="23"/>
  <c r="M15" i="23" s="1"/>
  <c r="L12" i="3"/>
  <c r="M12" i="3" s="1"/>
  <c r="D13" i="3" s="1"/>
  <c r="N12" i="3"/>
  <c r="C13" i="3" s="1"/>
  <c r="H12" i="3"/>
  <c r="J12" i="3"/>
  <c r="F13" i="19"/>
  <c r="E13" i="19"/>
  <c r="J12" i="16"/>
  <c r="D13" i="16" s="1"/>
  <c r="G13" i="18"/>
  <c r="J13" i="18"/>
  <c r="H13" i="18" s="1"/>
  <c r="E13" i="15"/>
  <c r="J13" i="15"/>
  <c r="L13" i="15"/>
  <c r="G13" i="15"/>
  <c r="J14" i="13"/>
  <c r="G14" i="13"/>
  <c r="H14" i="13"/>
  <c r="C15" i="13" s="1"/>
  <c r="D13" i="2"/>
  <c r="F15" i="6"/>
  <c r="G15" i="6" s="1"/>
  <c r="H15" i="6" s="1"/>
  <c r="D16" i="6" s="1"/>
  <c r="E15" i="6"/>
  <c r="C16" i="23" l="1"/>
  <c r="D16" i="23"/>
  <c r="I13" i="3"/>
  <c r="G13" i="3"/>
  <c r="E13" i="3"/>
  <c r="G13" i="19"/>
  <c r="L13" i="19"/>
  <c r="J13" i="19"/>
  <c r="K13" i="18"/>
  <c r="I13" i="18" s="1"/>
  <c r="C14" i="18"/>
  <c r="G13" i="16"/>
  <c r="E13" i="16"/>
  <c r="F13" i="16" s="1"/>
  <c r="H13" i="15"/>
  <c r="C14" i="15" s="1"/>
  <c r="K13" i="15"/>
  <c r="M13" i="15"/>
  <c r="K14" i="13"/>
  <c r="I14" i="13"/>
  <c r="D15" i="13" s="1"/>
  <c r="E15" i="13" s="1"/>
  <c r="E13" i="2"/>
  <c r="I15" i="6"/>
  <c r="C16" i="6" s="1"/>
  <c r="F13" i="2"/>
  <c r="H13" i="2" s="1"/>
  <c r="E16" i="23" l="1"/>
  <c r="F16" i="23" s="1"/>
  <c r="G16" i="23"/>
  <c r="I16" i="23"/>
  <c r="K13" i="3"/>
  <c r="F13" i="3"/>
  <c r="H13" i="19"/>
  <c r="C14" i="19" s="1"/>
  <c r="M13" i="19"/>
  <c r="K13" i="19"/>
  <c r="D14" i="18"/>
  <c r="H13" i="16"/>
  <c r="M13" i="16"/>
  <c r="K13" i="16"/>
  <c r="I13" i="15"/>
  <c r="D14" i="15" s="1"/>
  <c r="E14" i="15" s="1"/>
  <c r="F15" i="13"/>
  <c r="C14" i="2"/>
  <c r="F16" i="6"/>
  <c r="G16" i="6" s="1"/>
  <c r="H16" i="6" s="1"/>
  <c r="D17" i="6" s="1"/>
  <c r="E16" i="6"/>
  <c r="G13" i="2"/>
  <c r="I13" i="2" s="1"/>
  <c r="J16" i="23" l="1"/>
  <c r="M16" i="23" s="1"/>
  <c r="K16" i="23"/>
  <c r="L16" i="23" s="1"/>
  <c r="H16" i="23"/>
  <c r="N16" i="23" s="1"/>
  <c r="H13" i="3"/>
  <c r="J13" i="3"/>
  <c r="L13" i="3"/>
  <c r="M13" i="3" s="1"/>
  <c r="D14" i="3" s="1"/>
  <c r="N13" i="3"/>
  <c r="C14" i="3" s="1"/>
  <c r="I13" i="19"/>
  <c r="D14" i="19" s="1"/>
  <c r="I13" i="16"/>
  <c r="C14" i="16" s="1"/>
  <c r="F14" i="18"/>
  <c r="E14" i="18"/>
  <c r="N13" i="16"/>
  <c r="L13" i="16"/>
  <c r="F14" i="15"/>
  <c r="L14" i="15" s="1"/>
  <c r="J15" i="13"/>
  <c r="H15" i="13"/>
  <c r="C16" i="13" s="1"/>
  <c r="G15" i="13"/>
  <c r="D14" i="2"/>
  <c r="I16" i="6"/>
  <c r="C17" i="6" s="1"/>
  <c r="E17" i="6" s="1"/>
  <c r="C17" i="23" l="1"/>
  <c r="D17" i="23"/>
  <c r="I14" i="3"/>
  <c r="G14" i="3"/>
  <c r="E14" i="3"/>
  <c r="F14" i="19"/>
  <c r="E14" i="19"/>
  <c r="J13" i="16"/>
  <c r="D14" i="16" s="1"/>
  <c r="G14" i="18"/>
  <c r="J14" i="18"/>
  <c r="H14" i="18" s="1"/>
  <c r="J14" i="15"/>
  <c r="H14" i="15" s="1"/>
  <c r="C15" i="15" s="1"/>
  <c r="G14" i="15"/>
  <c r="K15" i="13"/>
  <c r="I15" i="13"/>
  <c r="D16" i="13" s="1"/>
  <c r="E14" i="2"/>
  <c r="F17" i="6"/>
  <c r="G17" i="6" s="1"/>
  <c r="H17" i="6" s="1"/>
  <c r="D18" i="6" s="1"/>
  <c r="F14" i="2"/>
  <c r="H14" i="2" s="1"/>
  <c r="I17" i="23" l="1"/>
  <c r="E17" i="23"/>
  <c r="K17" i="23" s="1"/>
  <c r="G17" i="23"/>
  <c r="K14" i="3"/>
  <c r="F14" i="3"/>
  <c r="J14" i="3" s="1"/>
  <c r="G14" i="19"/>
  <c r="J14" i="19"/>
  <c r="L14" i="19"/>
  <c r="C15" i="18"/>
  <c r="K14" i="18"/>
  <c r="I14" i="18" s="1"/>
  <c r="G14" i="16"/>
  <c r="E14" i="16"/>
  <c r="F14" i="16" s="1"/>
  <c r="M14" i="15"/>
  <c r="K14" i="15"/>
  <c r="F16" i="13"/>
  <c r="E16" i="13"/>
  <c r="C15" i="2"/>
  <c r="I17" i="6"/>
  <c r="C18" i="6" s="1"/>
  <c r="G14" i="2"/>
  <c r="I14" i="2" s="1"/>
  <c r="F17" i="23" l="1"/>
  <c r="H17" i="23" s="1"/>
  <c r="N17" i="23" s="1"/>
  <c r="C18" i="23" s="1"/>
  <c r="L17" i="23"/>
  <c r="L14" i="3"/>
  <c r="M14" i="3" s="1"/>
  <c r="D15" i="3" s="1"/>
  <c r="N14" i="3"/>
  <c r="C15" i="3" s="1"/>
  <c r="H14" i="3"/>
  <c r="H14" i="19"/>
  <c r="C15" i="19" s="1"/>
  <c r="M14" i="19"/>
  <c r="K14" i="19"/>
  <c r="D15" i="18"/>
  <c r="H14" i="16"/>
  <c r="M14" i="16"/>
  <c r="K14" i="16"/>
  <c r="I14" i="15"/>
  <c r="D15" i="15" s="1"/>
  <c r="F15" i="15" s="1"/>
  <c r="J16" i="13"/>
  <c r="G16" i="13"/>
  <c r="H16" i="13"/>
  <c r="C17" i="13" s="1"/>
  <c r="D15" i="2"/>
  <c r="F18" i="6"/>
  <c r="G18" i="6" s="1"/>
  <c r="H18" i="6" s="1"/>
  <c r="D19" i="6" s="1"/>
  <c r="E18" i="6"/>
  <c r="J17" i="23" l="1"/>
  <c r="M17" i="23" s="1"/>
  <c r="D18" i="23" s="1"/>
  <c r="I15" i="3"/>
  <c r="G15" i="3"/>
  <c r="E15" i="3"/>
  <c r="I14" i="19"/>
  <c r="D15" i="19" s="1"/>
  <c r="E15" i="19" s="1"/>
  <c r="I14" i="16"/>
  <c r="C15" i="16" s="1"/>
  <c r="E15" i="18"/>
  <c r="F15" i="18"/>
  <c r="N14" i="16"/>
  <c r="L14" i="16"/>
  <c r="E15" i="15"/>
  <c r="J15" i="15"/>
  <c r="L15" i="15"/>
  <c r="G15" i="15"/>
  <c r="K16" i="13"/>
  <c r="I16" i="13"/>
  <c r="D17" i="13" s="1"/>
  <c r="E15" i="2"/>
  <c r="F15" i="2"/>
  <c r="H15" i="2" s="1"/>
  <c r="I18" i="6"/>
  <c r="C19" i="6" s="1"/>
  <c r="E19" i="6" s="1"/>
  <c r="E18" i="23" l="1"/>
  <c r="F18" i="23" s="1"/>
  <c r="G18" i="23"/>
  <c r="I18" i="23"/>
  <c r="F15" i="3"/>
  <c r="J15" i="3" s="1"/>
  <c r="K15" i="3"/>
  <c r="F15" i="19"/>
  <c r="J14" i="16"/>
  <c r="D15" i="16" s="1"/>
  <c r="G15" i="18"/>
  <c r="J15" i="18"/>
  <c r="H15" i="18" s="1"/>
  <c r="H15" i="15"/>
  <c r="C16" i="15" s="1"/>
  <c r="M15" i="15"/>
  <c r="K15" i="15"/>
  <c r="F17" i="13"/>
  <c r="E17" i="13"/>
  <c r="C16" i="2"/>
  <c r="G15" i="2"/>
  <c r="I15" i="2" s="1"/>
  <c r="F19" i="6"/>
  <c r="G19" i="6" s="1"/>
  <c r="H19" i="6" s="1"/>
  <c r="D20" i="6" s="1"/>
  <c r="J18" i="23" l="1"/>
  <c r="M18" i="23" s="1"/>
  <c r="K18" i="23"/>
  <c r="L18" i="23" s="1"/>
  <c r="H18" i="23"/>
  <c r="N18" i="23" s="1"/>
  <c r="H15" i="3"/>
  <c r="L15" i="3"/>
  <c r="M15" i="3" s="1"/>
  <c r="D16" i="3" s="1"/>
  <c r="N15" i="3"/>
  <c r="C16" i="3" s="1"/>
  <c r="G15" i="19"/>
  <c r="L15" i="19"/>
  <c r="J15" i="19"/>
  <c r="E15" i="16"/>
  <c r="F15" i="16" s="1"/>
  <c r="C16" i="18"/>
  <c r="K15" i="18"/>
  <c r="I15" i="18" s="1"/>
  <c r="G15" i="16"/>
  <c r="I15" i="15"/>
  <c r="D16" i="15" s="1"/>
  <c r="J17" i="13"/>
  <c r="G17" i="13"/>
  <c r="H17" i="13"/>
  <c r="C18" i="13" s="1"/>
  <c r="D16" i="2"/>
  <c r="I19" i="6"/>
  <c r="C20" i="6" s="1"/>
  <c r="F20" i="6" s="1"/>
  <c r="G20" i="6" s="1"/>
  <c r="H20" i="6" s="1"/>
  <c r="D21" i="6" s="1"/>
  <c r="C19" i="23" l="1"/>
  <c r="D19" i="23"/>
  <c r="G16" i="3"/>
  <c r="E16" i="3"/>
  <c r="I16" i="3"/>
  <c r="H15" i="19"/>
  <c r="C16" i="19" s="1"/>
  <c r="M15" i="19"/>
  <c r="K15" i="19"/>
  <c r="D16" i="18"/>
  <c r="H15" i="16"/>
  <c r="M15" i="16"/>
  <c r="K15" i="16"/>
  <c r="E16" i="15"/>
  <c r="F16" i="15"/>
  <c r="K17" i="13"/>
  <c r="I17" i="13"/>
  <c r="D18" i="13" s="1"/>
  <c r="E16" i="2"/>
  <c r="F16" i="2"/>
  <c r="H16" i="2" s="1"/>
  <c r="E20" i="6"/>
  <c r="I20" i="6"/>
  <c r="C21" i="6" s="1"/>
  <c r="G19" i="23" l="1"/>
  <c r="I19" i="23"/>
  <c r="E19" i="23"/>
  <c r="K19" i="23" s="1"/>
  <c r="F16" i="3"/>
  <c r="H16" i="3" s="1"/>
  <c r="K16" i="3"/>
  <c r="I15" i="19"/>
  <c r="D16" i="19" s="1"/>
  <c r="I15" i="16"/>
  <c r="C16" i="16" s="1"/>
  <c r="E16" i="18"/>
  <c r="F16" i="18"/>
  <c r="L15" i="16"/>
  <c r="N15" i="16"/>
  <c r="L16" i="15"/>
  <c r="G16" i="15"/>
  <c r="J16" i="15"/>
  <c r="F18" i="13"/>
  <c r="E18" i="13"/>
  <c r="C17" i="2"/>
  <c r="G16" i="2"/>
  <c r="I16" i="2" s="1"/>
  <c r="E21" i="6"/>
  <c r="F21" i="6"/>
  <c r="G21" i="6" s="1"/>
  <c r="H21" i="6" s="1"/>
  <c r="D22" i="6" s="1"/>
  <c r="F19" i="23" l="1"/>
  <c r="H19" i="23" s="1"/>
  <c r="N19" i="23" s="1"/>
  <c r="C20" i="23" s="1"/>
  <c r="L19" i="23"/>
  <c r="J16" i="3"/>
  <c r="L16" i="3"/>
  <c r="M16" i="3" s="1"/>
  <c r="D17" i="3" s="1"/>
  <c r="N16" i="3"/>
  <c r="C17" i="3" s="1"/>
  <c r="F16" i="19"/>
  <c r="E16" i="19"/>
  <c r="J15" i="16"/>
  <c r="D16" i="16" s="1"/>
  <c r="G16" i="18"/>
  <c r="J16" i="18"/>
  <c r="H16" i="18" s="1"/>
  <c r="H16" i="15"/>
  <c r="C17" i="15" s="1"/>
  <c r="M16" i="15"/>
  <c r="K16" i="15"/>
  <c r="J18" i="13"/>
  <c r="G18" i="13"/>
  <c r="H18" i="13"/>
  <c r="C19" i="13" s="1"/>
  <c r="D17" i="2"/>
  <c r="I21" i="6"/>
  <c r="C22" i="6" s="1"/>
  <c r="F22" i="6" s="1"/>
  <c r="G22" i="6" s="1"/>
  <c r="H22" i="6" s="1"/>
  <c r="D23" i="6" s="1"/>
  <c r="J19" i="23" l="1"/>
  <c r="M19" i="23" s="1"/>
  <c r="D20" i="23" s="1"/>
  <c r="I17" i="3"/>
  <c r="G17" i="3"/>
  <c r="E17" i="3"/>
  <c r="G16" i="19"/>
  <c r="J16" i="19"/>
  <c r="L16" i="19"/>
  <c r="E16" i="16"/>
  <c r="F16" i="16" s="1"/>
  <c r="C17" i="18"/>
  <c r="K16" i="18"/>
  <c r="I16" i="18" s="1"/>
  <c r="G16" i="16"/>
  <c r="I16" i="15"/>
  <c r="D17" i="15" s="1"/>
  <c r="F17" i="15" s="1"/>
  <c r="J17" i="15" s="1"/>
  <c r="K18" i="13"/>
  <c r="I18" i="13"/>
  <c r="D19" i="13" s="1"/>
  <c r="E17" i="2"/>
  <c r="F17" i="2"/>
  <c r="H17" i="2" s="1"/>
  <c r="E22" i="6"/>
  <c r="I22" i="6"/>
  <c r="C23" i="6" s="1"/>
  <c r="E23" i="6" s="1"/>
  <c r="I20" i="23" l="1"/>
  <c r="E20" i="23"/>
  <c r="F20" i="23" s="1"/>
  <c r="G20" i="23"/>
  <c r="K17" i="3"/>
  <c r="F17" i="3"/>
  <c r="J17" i="3" s="1"/>
  <c r="H16" i="19"/>
  <c r="C17" i="19" s="1"/>
  <c r="M16" i="19"/>
  <c r="K16" i="19"/>
  <c r="D17" i="18"/>
  <c r="H16" i="16"/>
  <c r="M16" i="16"/>
  <c r="K16" i="16"/>
  <c r="G17" i="15"/>
  <c r="K17" i="15" s="1"/>
  <c r="E17" i="15"/>
  <c r="L17" i="15"/>
  <c r="H17" i="15" s="1"/>
  <c r="C18" i="15" s="1"/>
  <c r="E19" i="13"/>
  <c r="F19" i="13"/>
  <c r="C18" i="2"/>
  <c r="G17" i="2"/>
  <c r="I17" i="2" s="1"/>
  <c r="F23" i="6"/>
  <c r="G23" i="6" s="1"/>
  <c r="H23" i="6" s="1"/>
  <c r="D24" i="6" s="1"/>
  <c r="H20" i="23" l="1"/>
  <c r="N20" i="23" s="1"/>
  <c r="K20" i="23"/>
  <c r="L20" i="23" s="1"/>
  <c r="J20" i="23"/>
  <c r="M20" i="23" s="1"/>
  <c r="H17" i="3"/>
  <c r="L17" i="3"/>
  <c r="M17" i="3" s="1"/>
  <c r="D18" i="3" s="1"/>
  <c r="N17" i="3"/>
  <c r="C18" i="3" s="1"/>
  <c r="I16" i="19"/>
  <c r="D17" i="19" s="1"/>
  <c r="I16" i="16"/>
  <c r="C17" i="16" s="1"/>
  <c r="F17" i="18"/>
  <c r="E17" i="18"/>
  <c r="N16" i="16"/>
  <c r="L16" i="16"/>
  <c r="M17" i="15"/>
  <c r="I17" i="15" s="1"/>
  <c r="D18" i="15" s="1"/>
  <c r="J19" i="13"/>
  <c r="H19" i="13"/>
  <c r="C20" i="13" s="1"/>
  <c r="G19" i="13"/>
  <c r="D18" i="2"/>
  <c r="I23" i="6"/>
  <c r="C24" i="6" s="1"/>
  <c r="F24" i="6" s="1"/>
  <c r="G24" i="6" s="1"/>
  <c r="H24" i="6" s="1"/>
  <c r="D25" i="6" s="1"/>
  <c r="C21" i="23" l="1"/>
  <c r="D21" i="23"/>
  <c r="G18" i="3"/>
  <c r="E18" i="3"/>
  <c r="I18" i="3"/>
  <c r="F17" i="19"/>
  <c r="E17" i="19"/>
  <c r="J16" i="16"/>
  <c r="D17" i="16" s="1"/>
  <c r="G17" i="18"/>
  <c r="J17" i="18"/>
  <c r="H17" i="18" s="1"/>
  <c r="F18" i="15"/>
  <c r="E18" i="15"/>
  <c r="K19" i="13"/>
  <c r="I19" i="13"/>
  <c r="D20" i="13" s="1"/>
  <c r="E18" i="2"/>
  <c r="F18" i="2"/>
  <c r="I24" i="6"/>
  <c r="C25" i="6" s="1"/>
  <c r="E25" i="6" s="1"/>
  <c r="E24" i="6"/>
  <c r="I21" i="23" l="1"/>
  <c r="E21" i="23"/>
  <c r="K21" i="23" s="1"/>
  <c r="G21" i="23"/>
  <c r="K18" i="3"/>
  <c r="F18" i="3"/>
  <c r="J18" i="3" s="1"/>
  <c r="G17" i="19"/>
  <c r="L17" i="19"/>
  <c r="J17" i="19"/>
  <c r="C18" i="18"/>
  <c r="K17" i="18"/>
  <c r="I17" i="18" s="1"/>
  <c r="G17" i="16"/>
  <c r="E17" i="16"/>
  <c r="F17" i="16" s="1"/>
  <c r="J18" i="15"/>
  <c r="G18" i="15"/>
  <c r="L18" i="15"/>
  <c r="E20" i="13"/>
  <c r="F20" i="13"/>
  <c r="G18" i="2"/>
  <c r="I18" i="2" s="1"/>
  <c r="D19" i="2" s="1"/>
  <c r="H18" i="2"/>
  <c r="C19" i="2" s="1"/>
  <c r="F25" i="6"/>
  <c r="G25" i="6" s="1"/>
  <c r="H25" i="6" s="1"/>
  <c r="D26" i="6" s="1"/>
  <c r="F21" i="23" l="1"/>
  <c r="H21" i="23" s="1"/>
  <c r="N21" i="23" s="1"/>
  <c r="C22" i="23" s="1"/>
  <c r="L21" i="23"/>
  <c r="H18" i="3"/>
  <c r="L18" i="3"/>
  <c r="M18" i="3" s="1"/>
  <c r="D19" i="3" s="1"/>
  <c r="N18" i="3"/>
  <c r="C19" i="3" s="1"/>
  <c r="H17" i="19"/>
  <c r="C18" i="19" s="1"/>
  <c r="K17" i="19"/>
  <c r="M17" i="19"/>
  <c r="D18" i="18"/>
  <c r="H17" i="16"/>
  <c r="M17" i="16"/>
  <c r="K17" i="16"/>
  <c r="M18" i="15"/>
  <c r="K18" i="15"/>
  <c r="H18" i="15"/>
  <c r="C19" i="15" s="1"/>
  <c r="J20" i="13"/>
  <c r="H20" i="13"/>
  <c r="C21" i="13" s="1"/>
  <c r="G20" i="13"/>
  <c r="E19" i="2"/>
  <c r="I25" i="6"/>
  <c r="C26" i="6" s="1"/>
  <c r="F19" i="2"/>
  <c r="H19" i="2" s="1"/>
  <c r="J21" i="23" l="1"/>
  <c r="M21" i="23" s="1"/>
  <c r="D22" i="23" s="1"/>
  <c r="E19" i="3"/>
  <c r="G19" i="3"/>
  <c r="I19" i="3"/>
  <c r="I17" i="19"/>
  <c r="D18" i="19" s="1"/>
  <c r="E18" i="19" s="1"/>
  <c r="I17" i="16"/>
  <c r="C18" i="16" s="1"/>
  <c r="F18" i="18"/>
  <c r="E18" i="18"/>
  <c r="N17" i="16"/>
  <c r="L17" i="16"/>
  <c r="I18" i="15"/>
  <c r="D19" i="15" s="1"/>
  <c r="F19" i="15" s="1"/>
  <c r="K20" i="13"/>
  <c r="I20" i="13"/>
  <c r="D21" i="13" s="1"/>
  <c r="C20" i="2"/>
  <c r="E26" i="6"/>
  <c r="F26" i="6"/>
  <c r="G26" i="6" s="1"/>
  <c r="H26" i="6" s="1"/>
  <c r="D27" i="6" s="1"/>
  <c r="G19" i="2"/>
  <c r="I19" i="2" s="1"/>
  <c r="I22" i="23" l="1"/>
  <c r="E22" i="23"/>
  <c r="F22" i="23" s="1"/>
  <c r="G22" i="23"/>
  <c r="F19" i="3"/>
  <c r="J19" i="3" s="1"/>
  <c r="K19" i="3"/>
  <c r="F18" i="19"/>
  <c r="J17" i="16"/>
  <c r="D18" i="16" s="1"/>
  <c r="G18" i="18"/>
  <c r="J18" i="18"/>
  <c r="H18" i="18" s="1"/>
  <c r="E19" i="15"/>
  <c r="G19" i="15"/>
  <c r="J19" i="15"/>
  <c r="L19" i="15"/>
  <c r="E21" i="13"/>
  <c r="F21" i="13"/>
  <c r="D20" i="2"/>
  <c r="I26" i="6"/>
  <c r="C27" i="6" s="1"/>
  <c r="H22" i="23" l="1"/>
  <c r="N22" i="23" s="1"/>
  <c r="K22" i="23"/>
  <c r="L22" i="23" s="1"/>
  <c r="J22" i="23"/>
  <c r="M22" i="23" s="1"/>
  <c r="L19" i="3"/>
  <c r="M19" i="3" s="1"/>
  <c r="D20" i="3" s="1"/>
  <c r="N19" i="3"/>
  <c r="C20" i="3" s="1"/>
  <c r="H19" i="3"/>
  <c r="G18" i="19"/>
  <c r="J18" i="19"/>
  <c r="L18" i="19"/>
  <c r="C19" i="18"/>
  <c r="K18" i="18"/>
  <c r="I18" i="18" s="1"/>
  <c r="G18" i="16"/>
  <c r="E18" i="16"/>
  <c r="F18" i="16" s="1"/>
  <c r="H19" i="15"/>
  <c r="C20" i="15" s="1"/>
  <c r="M19" i="15"/>
  <c r="K19" i="15"/>
  <c r="J21" i="13"/>
  <c r="H21" i="13"/>
  <c r="C22" i="13" s="1"/>
  <c r="G21" i="13"/>
  <c r="E20" i="2"/>
  <c r="F27" i="6"/>
  <c r="G27" i="6" s="1"/>
  <c r="H27" i="6" s="1"/>
  <c r="D28" i="6" s="1"/>
  <c r="E27" i="6"/>
  <c r="F20" i="2"/>
  <c r="H20" i="2" s="1"/>
  <c r="C23" i="23" l="1"/>
  <c r="D23" i="23"/>
  <c r="I20" i="3"/>
  <c r="G20" i="3"/>
  <c r="E20" i="3"/>
  <c r="H18" i="19"/>
  <c r="C19" i="19" s="1"/>
  <c r="M18" i="19"/>
  <c r="K18" i="19"/>
  <c r="D19" i="18"/>
  <c r="H18" i="16"/>
  <c r="M18" i="16"/>
  <c r="K18" i="16"/>
  <c r="I19" i="15"/>
  <c r="D20" i="15" s="1"/>
  <c r="E20" i="15" s="1"/>
  <c r="K21" i="13"/>
  <c r="I21" i="13"/>
  <c r="D22" i="13" s="1"/>
  <c r="C21" i="2"/>
  <c r="I27" i="6"/>
  <c r="C28" i="6" s="1"/>
  <c r="G20" i="2"/>
  <c r="I20" i="2" s="1"/>
  <c r="I23" i="23" l="1"/>
  <c r="E23" i="23"/>
  <c r="K23" i="23" s="1"/>
  <c r="G23" i="23"/>
  <c r="K20" i="3"/>
  <c r="F20" i="3"/>
  <c r="J20" i="3" s="1"/>
  <c r="I18" i="19"/>
  <c r="D19" i="19" s="1"/>
  <c r="I18" i="16"/>
  <c r="C19" i="16" s="1"/>
  <c r="E19" i="18"/>
  <c r="F19" i="18"/>
  <c r="N18" i="16"/>
  <c r="L18" i="16"/>
  <c r="F20" i="15"/>
  <c r="J20" i="15" s="1"/>
  <c r="F22" i="13"/>
  <c r="E22" i="13"/>
  <c r="D21" i="2"/>
  <c r="F28" i="6"/>
  <c r="G28" i="6" s="1"/>
  <c r="H28" i="6" s="1"/>
  <c r="D29" i="6" s="1"/>
  <c r="E28" i="6"/>
  <c r="F23" i="23" l="1"/>
  <c r="H23" i="23" s="1"/>
  <c r="N23" i="23" s="1"/>
  <c r="C24" i="23" s="1"/>
  <c r="L23" i="23"/>
  <c r="H20" i="3"/>
  <c r="L20" i="3"/>
  <c r="M20" i="3" s="1"/>
  <c r="D21" i="3" s="1"/>
  <c r="N20" i="3"/>
  <c r="C21" i="3" s="1"/>
  <c r="F19" i="19"/>
  <c r="E19" i="19"/>
  <c r="J18" i="16"/>
  <c r="D19" i="16" s="1"/>
  <c r="G19" i="18"/>
  <c r="J19" i="18"/>
  <c r="H19" i="18" s="1"/>
  <c r="L20" i="15"/>
  <c r="H20" i="15" s="1"/>
  <c r="C21" i="15" s="1"/>
  <c r="G20" i="15"/>
  <c r="J22" i="13"/>
  <c r="G22" i="13"/>
  <c r="H22" i="13"/>
  <c r="C23" i="13" s="1"/>
  <c r="E21" i="2"/>
  <c r="I28" i="6"/>
  <c r="C29" i="6" s="1"/>
  <c r="F21" i="2"/>
  <c r="H21" i="2" s="1"/>
  <c r="J23" i="23" l="1"/>
  <c r="M23" i="23" s="1"/>
  <c r="D24" i="23" s="1"/>
  <c r="E21" i="3"/>
  <c r="G21" i="3"/>
  <c r="I21" i="3"/>
  <c r="G19" i="19"/>
  <c r="L19" i="19"/>
  <c r="J19" i="19"/>
  <c r="C20" i="18"/>
  <c r="K19" i="18"/>
  <c r="I19" i="18" s="1"/>
  <c r="G19" i="16"/>
  <c r="E19" i="16"/>
  <c r="F19" i="16" s="1"/>
  <c r="M20" i="15"/>
  <c r="K20" i="15"/>
  <c r="K22" i="13"/>
  <c r="I22" i="13"/>
  <c r="D23" i="13" s="1"/>
  <c r="C22" i="2"/>
  <c r="F29" i="6"/>
  <c r="G29" i="6" s="1"/>
  <c r="H29" i="6" s="1"/>
  <c r="D30" i="6" s="1"/>
  <c r="E29" i="6"/>
  <c r="G21" i="2"/>
  <c r="I21" i="2" s="1"/>
  <c r="G24" i="23" l="1"/>
  <c r="I24" i="23"/>
  <c r="E24" i="23"/>
  <c r="F24" i="23" s="1"/>
  <c r="K21" i="3"/>
  <c r="F21" i="3"/>
  <c r="J21" i="3" s="1"/>
  <c r="H19" i="19"/>
  <c r="C20" i="19" s="1"/>
  <c r="M19" i="19"/>
  <c r="K19" i="19"/>
  <c r="D20" i="18"/>
  <c r="H19" i="16"/>
  <c r="K19" i="16"/>
  <c r="M19" i="16"/>
  <c r="I20" i="15"/>
  <c r="D21" i="15" s="1"/>
  <c r="E21" i="15" s="1"/>
  <c r="F23" i="13"/>
  <c r="E23" i="13"/>
  <c r="D22" i="2"/>
  <c r="I29" i="6"/>
  <c r="C30" i="6" s="1"/>
  <c r="H24" i="23" l="1"/>
  <c r="N24" i="23" s="1"/>
  <c r="C25" i="23" s="1"/>
  <c r="K24" i="23"/>
  <c r="L24" i="23" s="1"/>
  <c r="J24" i="23"/>
  <c r="M24" i="23" s="1"/>
  <c r="L21" i="3"/>
  <c r="M21" i="3" s="1"/>
  <c r="D22" i="3" s="1"/>
  <c r="N21" i="3"/>
  <c r="C22" i="3" s="1"/>
  <c r="H21" i="3"/>
  <c r="I19" i="19"/>
  <c r="D20" i="19" s="1"/>
  <c r="E20" i="19" s="1"/>
  <c r="I19" i="16"/>
  <c r="C20" i="16" s="1"/>
  <c r="F20" i="18"/>
  <c r="E20" i="18"/>
  <c r="N19" i="16"/>
  <c r="L19" i="16"/>
  <c r="F21" i="15"/>
  <c r="G21" i="15" s="1"/>
  <c r="J23" i="13"/>
  <c r="G23" i="13"/>
  <c r="H23" i="13"/>
  <c r="C24" i="13" s="1"/>
  <c r="E22" i="2"/>
  <c r="E30" i="6"/>
  <c r="F30" i="6"/>
  <c r="G30" i="6" s="1"/>
  <c r="H30" i="6" s="1"/>
  <c r="D31" i="6" s="1"/>
  <c r="F22" i="2"/>
  <c r="H22" i="2" s="1"/>
  <c r="D25" i="23" l="1"/>
  <c r="G22" i="3"/>
  <c r="E22" i="3"/>
  <c r="I22" i="3"/>
  <c r="F20" i="19"/>
  <c r="J19" i="16"/>
  <c r="D20" i="16" s="1"/>
  <c r="G20" i="18"/>
  <c r="J20" i="18"/>
  <c r="H20" i="18" s="1"/>
  <c r="J21" i="15"/>
  <c r="L21" i="15"/>
  <c r="K21" i="15"/>
  <c r="M21" i="15"/>
  <c r="K23" i="13"/>
  <c r="I23" i="13"/>
  <c r="D24" i="13" s="1"/>
  <c r="C23" i="2"/>
  <c r="I30" i="6"/>
  <c r="C31" i="6" s="1"/>
  <c r="G22" i="2"/>
  <c r="I22" i="2" s="1"/>
  <c r="I25" i="23" l="1"/>
  <c r="G25" i="23"/>
  <c r="E25" i="23"/>
  <c r="K25" i="23" s="1"/>
  <c r="K22" i="3"/>
  <c r="F22" i="3"/>
  <c r="H22" i="3" s="1"/>
  <c r="G20" i="19"/>
  <c r="J20" i="19"/>
  <c r="L20" i="19"/>
  <c r="C21" i="18"/>
  <c r="K20" i="18"/>
  <c r="I20" i="18" s="1"/>
  <c r="G20" i="16"/>
  <c r="E20" i="16"/>
  <c r="F20" i="16" s="1"/>
  <c r="H21" i="15"/>
  <c r="C22" i="15" s="1"/>
  <c r="I21" i="15"/>
  <c r="D22" i="15" s="1"/>
  <c r="E24" i="13"/>
  <c r="F24" i="13"/>
  <c r="D23" i="2"/>
  <c r="F31" i="6"/>
  <c r="G31" i="6" s="1"/>
  <c r="H31" i="6" s="1"/>
  <c r="D32" i="6" s="1"/>
  <c r="E31" i="6"/>
  <c r="F25" i="23" l="1"/>
  <c r="H25" i="23" s="1"/>
  <c r="N25" i="23" s="1"/>
  <c r="C26" i="23" s="1"/>
  <c r="L25" i="23"/>
  <c r="J22" i="3"/>
  <c r="L22" i="3"/>
  <c r="M22" i="3" s="1"/>
  <c r="D23" i="3" s="1"/>
  <c r="N22" i="3"/>
  <c r="C23" i="3" s="1"/>
  <c r="H20" i="19"/>
  <c r="C21" i="19" s="1"/>
  <c r="M20" i="19"/>
  <c r="K20" i="19"/>
  <c r="D21" i="18"/>
  <c r="H20" i="16"/>
  <c r="M20" i="16"/>
  <c r="K20" i="16"/>
  <c r="F22" i="15"/>
  <c r="E22" i="15"/>
  <c r="J24" i="13"/>
  <c r="G24" i="13"/>
  <c r="H24" i="13"/>
  <c r="C25" i="13" s="1"/>
  <c r="E23" i="2"/>
  <c r="I31" i="6"/>
  <c r="C32" i="6" s="1"/>
  <c r="E32" i="6" s="1"/>
  <c r="F23" i="2"/>
  <c r="H23" i="2" s="1"/>
  <c r="J25" i="23" l="1"/>
  <c r="M25" i="23" s="1"/>
  <c r="D26" i="23" s="1"/>
  <c r="G23" i="3"/>
  <c r="E23" i="3"/>
  <c r="I23" i="3"/>
  <c r="I20" i="19"/>
  <c r="D21" i="19" s="1"/>
  <c r="E21" i="19" s="1"/>
  <c r="I20" i="16"/>
  <c r="C21" i="16" s="1"/>
  <c r="E21" i="18"/>
  <c r="F21" i="18"/>
  <c r="N20" i="16"/>
  <c r="L20" i="16"/>
  <c r="G22" i="15"/>
  <c r="M22" i="15" s="1"/>
  <c r="J22" i="15"/>
  <c r="L22" i="15"/>
  <c r="K24" i="13"/>
  <c r="I24" i="13"/>
  <c r="D25" i="13" s="1"/>
  <c r="C24" i="2"/>
  <c r="F32" i="6"/>
  <c r="G23" i="2"/>
  <c r="I23" i="2" s="1"/>
  <c r="G26" i="23" l="1"/>
  <c r="I26" i="23"/>
  <c r="E26" i="23"/>
  <c r="F26" i="23" s="1"/>
  <c r="F23" i="3"/>
  <c r="J23" i="3" s="1"/>
  <c r="K23" i="3"/>
  <c r="F21" i="19"/>
  <c r="J20" i="16"/>
  <c r="D21" i="16" s="1"/>
  <c r="G21" i="18"/>
  <c r="J21" i="18"/>
  <c r="H21" i="18" s="1"/>
  <c r="H22" i="15"/>
  <c r="C23" i="15" s="1"/>
  <c r="K22" i="15"/>
  <c r="I22" i="15" s="1"/>
  <c r="D23" i="15" s="1"/>
  <c r="E25" i="13"/>
  <c r="F25" i="13"/>
  <c r="I32" i="6"/>
  <c r="F33" i="6"/>
  <c r="D24" i="2"/>
  <c r="G32" i="6"/>
  <c r="J26" i="23" l="1"/>
  <c r="M26" i="23" s="1"/>
  <c r="K26" i="23"/>
  <c r="L26" i="23" s="1"/>
  <c r="H26" i="23"/>
  <c r="N26" i="23" s="1"/>
  <c r="H23" i="3"/>
  <c r="L23" i="3"/>
  <c r="M23" i="3" s="1"/>
  <c r="D24" i="3" s="1"/>
  <c r="N23" i="3"/>
  <c r="C24" i="3" s="1"/>
  <c r="G21" i="19"/>
  <c r="L21" i="19"/>
  <c r="J21" i="19"/>
  <c r="C22" i="18"/>
  <c r="K21" i="18"/>
  <c r="I21" i="18" s="1"/>
  <c r="G21" i="16"/>
  <c r="E21" i="16"/>
  <c r="F21" i="16" s="1"/>
  <c r="F23" i="15"/>
  <c r="E23" i="15"/>
  <c r="J25" i="13"/>
  <c r="H25" i="13"/>
  <c r="C26" i="13" s="1"/>
  <c r="G25" i="13"/>
  <c r="H32" i="6"/>
  <c r="G33" i="6"/>
  <c r="H33" i="6" s="1"/>
  <c r="E24" i="2"/>
  <c r="F24" i="2"/>
  <c r="H24" i="2" s="1"/>
  <c r="D27" i="23" l="1"/>
  <c r="C27" i="23"/>
  <c r="I24" i="3"/>
  <c r="G24" i="3"/>
  <c r="E24" i="3"/>
  <c r="H21" i="19"/>
  <c r="C22" i="19" s="1"/>
  <c r="M21" i="19"/>
  <c r="K21" i="19"/>
  <c r="D22" i="18"/>
  <c r="H21" i="16"/>
  <c r="M21" i="16"/>
  <c r="K21" i="16"/>
  <c r="J23" i="15"/>
  <c r="G23" i="15"/>
  <c r="L23" i="15"/>
  <c r="K25" i="13"/>
  <c r="I25" i="13"/>
  <c r="D26" i="13" s="1"/>
  <c r="C25" i="2"/>
  <c r="G24" i="2"/>
  <c r="I24" i="2" s="1"/>
  <c r="G27" i="23" l="1"/>
  <c r="I27" i="23"/>
  <c r="E27" i="23"/>
  <c r="F27" i="23" s="1"/>
  <c r="F24" i="3"/>
  <c r="J24" i="3" s="1"/>
  <c r="K24" i="3"/>
  <c r="I21" i="19"/>
  <c r="D22" i="19" s="1"/>
  <c r="E22" i="19" s="1"/>
  <c r="I21" i="16"/>
  <c r="C22" i="16" s="1"/>
  <c r="E22" i="18"/>
  <c r="F22" i="18"/>
  <c r="N21" i="16"/>
  <c r="L21" i="16"/>
  <c r="M23" i="15"/>
  <c r="H23" i="15"/>
  <c r="C24" i="15" s="1"/>
  <c r="K23" i="15"/>
  <c r="E26" i="13"/>
  <c r="F26" i="13"/>
  <c r="D25" i="2"/>
  <c r="H27" i="23" l="1"/>
  <c r="N27" i="23" s="1"/>
  <c r="K27" i="23"/>
  <c r="L27" i="23" s="1"/>
  <c r="J27" i="23"/>
  <c r="M27" i="23" s="1"/>
  <c r="H24" i="3"/>
  <c r="L24" i="3"/>
  <c r="M24" i="3" s="1"/>
  <c r="D25" i="3" s="1"/>
  <c r="N24" i="3"/>
  <c r="C25" i="3" s="1"/>
  <c r="F22" i="19"/>
  <c r="J21" i="16"/>
  <c r="D22" i="16" s="1"/>
  <c r="G22" i="18"/>
  <c r="J22" i="18"/>
  <c r="H22" i="18" s="1"/>
  <c r="I23" i="15"/>
  <c r="D24" i="15" s="1"/>
  <c r="E24" i="15" s="1"/>
  <c r="J26" i="13"/>
  <c r="H26" i="13"/>
  <c r="C27" i="13" s="1"/>
  <c r="G26" i="13"/>
  <c r="E25" i="2"/>
  <c r="F25" i="2"/>
  <c r="H25" i="2" s="1"/>
  <c r="C28" i="23" l="1"/>
  <c r="D28" i="23"/>
  <c r="I25" i="3"/>
  <c r="G25" i="3"/>
  <c r="E25" i="3"/>
  <c r="G22" i="19"/>
  <c r="J22" i="19"/>
  <c r="L22" i="19"/>
  <c r="E22" i="16"/>
  <c r="F22" i="16" s="1"/>
  <c r="C23" i="18"/>
  <c r="K22" i="18"/>
  <c r="I22" i="18" s="1"/>
  <c r="G22" i="16"/>
  <c r="F24" i="15"/>
  <c r="K26" i="13"/>
  <c r="I26" i="13"/>
  <c r="D27" i="13" s="1"/>
  <c r="C26" i="2"/>
  <c r="G25" i="2"/>
  <c r="I25" i="2" s="1"/>
  <c r="I28" i="23" l="1"/>
  <c r="E28" i="23"/>
  <c r="F28" i="23" s="1"/>
  <c r="G28" i="23"/>
  <c r="F25" i="3"/>
  <c r="K25" i="3"/>
  <c r="H22" i="19"/>
  <c r="C23" i="19" s="1"/>
  <c r="M22" i="19"/>
  <c r="K22" i="19"/>
  <c r="D23" i="18"/>
  <c r="H22" i="16"/>
  <c r="K22" i="16"/>
  <c r="M22" i="16"/>
  <c r="L24" i="15"/>
  <c r="G24" i="15"/>
  <c r="M24" i="15" s="1"/>
  <c r="J24" i="15"/>
  <c r="E27" i="13"/>
  <c r="F27" i="13"/>
  <c r="D26" i="2"/>
  <c r="H28" i="23" l="1"/>
  <c r="N28" i="23" s="1"/>
  <c r="K28" i="23"/>
  <c r="L28" i="23" s="1"/>
  <c r="J28" i="23"/>
  <c r="M28" i="23" s="1"/>
  <c r="H25" i="3"/>
  <c r="J25" i="3"/>
  <c r="L25" i="3"/>
  <c r="M25" i="3" s="1"/>
  <c r="D26" i="3" s="1"/>
  <c r="N25" i="3"/>
  <c r="C26" i="3" s="1"/>
  <c r="I22" i="19"/>
  <c r="D23" i="19" s="1"/>
  <c r="E23" i="19" s="1"/>
  <c r="I22" i="16"/>
  <c r="C23" i="16" s="1"/>
  <c r="E23" i="18"/>
  <c r="F23" i="18"/>
  <c r="L22" i="16"/>
  <c r="N22" i="16"/>
  <c r="K24" i="15"/>
  <c r="I24" i="15" s="1"/>
  <c r="D25" i="15" s="1"/>
  <c r="H24" i="15"/>
  <c r="C25" i="15" s="1"/>
  <c r="J27" i="13"/>
  <c r="G27" i="13"/>
  <c r="H27" i="13"/>
  <c r="C28" i="13" s="1"/>
  <c r="E26" i="2"/>
  <c r="F26" i="2"/>
  <c r="H26" i="2" s="1"/>
  <c r="C29" i="23" l="1"/>
  <c r="D29" i="23"/>
  <c r="G26" i="3"/>
  <c r="E26" i="3"/>
  <c r="I26" i="3"/>
  <c r="F23" i="19"/>
  <c r="J22" i="16"/>
  <c r="D23" i="16" s="1"/>
  <c r="G23" i="18"/>
  <c r="J23" i="18"/>
  <c r="H23" i="18" s="1"/>
  <c r="E25" i="15"/>
  <c r="F25" i="15"/>
  <c r="K27" i="13"/>
  <c r="I27" i="13"/>
  <c r="D28" i="13" s="1"/>
  <c r="C27" i="2"/>
  <c r="G26" i="2"/>
  <c r="I26" i="2" s="1"/>
  <c r="I29" i="23" l="1"/>
  <c r="E29" i="23"/>
  <c r="K29" i="23" s="1"/>
  <c r="G29" i="23"/>
  <c r="K26" i="3"/>
  <c r="F26" i="3"/>
  <c r="H26" i="3" s="1"/>
  <c r="G23" i="19"/>
  <c r="L23" i="19"/>
  <c r="J23" i="19"/>
  <c r="C24" i="18"/>
  <c r="K23" i="18"/>
  <c r="I23" i="18" s="1"/>
  <c r="G23" i="16"/>
  <c r="E23" i="16"/>
  <c r="F23" i="16" s="1"/>
  <c r="J25" i="15"/>
  <c r="L25" i="15"/>
  <c r="G25" i="15"/>
  <c r="M25" i="15" s="1"/>
  <c r="F28" i="13"/>
  <c r="E28" i="13"/>
  <c r="D27" i="2"/>
  <c r="F29" i="23" l="1"/>
  <c r="H29" i="23" s="1"/>
  <c r="N29" i="23" s="1"/>
  <c r="C30" i="23" s="1"/>
  <c r="L29" i="23"/>
  <c r="J26" i="3"/>
  <c r="L26" i="3"/>
  <c r="M26" i="3" s="1"/>
  <c r="D27" i="3" s="1"/>
  <c r="N26" i="3"/>
  <c r="C27" i="3" s="1"/>
  <c r="M23" i="19"/>
  <c r="K23" i="19"/>
  <c r="H23" i="19"/>
  <c r="C24" i="19" s="1"/>
  <c r="D24" i="18"/>
  <c r="H23" i="16"/>
  <c r="M23" i="16"/>
  <c r="K23" i="16"/>
  <c r="H25" i="15"/>
  <c r="C26" i="15" s="1"/>
  <c r="K25" i="15"/>
  <c r="I25" i="15" s="1"/>
  <c r="D26" i="15" s="1"/>
  <c r="J28" i="13"/>
  <c r="G28" i="13"/>
  <c r="H28" i="13"/>
  <c r="C29" i="13" s="1"/>
  <c r="E27" i="2"/>
  <c r="F27" i="2"/>
  <c r="H27" i="2" s="1"/>
  <c r="J29" i="23" l="1"/>
  <c r="M29" i="23" s="1"/>
  <c r="D30" i="23" s="1"/>
  <c r="I27" i="3"/>
  <c r="G27" i="3"/>
  <c r="E27" i="3"/>
  <c r="I23" i="19"/>
  <c r="D24" i="19" s="1"/>
  <c r="I23" i="16"/>
  <c r="C24" i="16" s="1"/>
  <c r="F24" i="18"/>
  <c r="E24" i="18"/>
  <c r="N23" i="16"/>
  <c r="L23" i="16"/>
  <c r="F26" i="15"/>
  <c r="E26" i="15"/>
  <c r="K28" i="13"/>
  <c r="I28" i="13"/>
  <c r="D29" i="13" s="1"/>
  <c r="C28" i="2"/>
  <c r="G27" i="2"/>
  <c r="I27" i="2" s="1"/>
  <c r="I30" i="23" l="1"/>
  <c r="E30" i="23"/>
  <c r="K30" i="23" s="1"/>
  <c r="G30" i="23"/>
  <c r="K27" i="3"/>
  <c r="F27" i="3"/>
  <c r="J27" i="3" s="1"/>
  <c r="F24" i="19"/>
  <c r="E24" i="19"/>
  <c r="J23" i="16"/>
  <c r="D24" i="16" s="1"/>
  <c r="G24" i="18"/>
  <c r="J24" i="18"/>
  <c r="H24" i="18" s="1"/>
  <c r="G26" i="15"/>
  <c r="L26" i="15"/>
  <c r="J26" i="15"/>
  <c r="F29" i="13"/>
  <c r="E29" i="13"/>
  <c r="D28" i="2"/>
  <c r="F30" i="23" l="1"/>
  <c r="H30" i="23" s="1"/>
  <c r="N30" i="23" s="1"/>
  <c r="C31" i="23" s="1"/>
  <c r="L30" i="23"/>
  <c r="L27" i="3"/>
  <c r="M27" i="3" s="1"/>
  <c r="D28" i="3" s="1"/>
  <c r="N27" i="3"/>
  <c r="C28" i="3" s="1"/>
  <c r="H27" i="3"/>
  <c r="G24" i="19"/>
  <c r="L24" i="19"/>
  <c r="J24" i="19"/>
  <c r="C25" i="18"/>
  <c r="K24" i="18"/>
  <c r="I24" i="18" s="1"/>
  <c r="G24" i="16"/>
  <c r="E24" i="16"/>
  <c r="F24" i="16" s="1"/>
  <c r="M26" i="15"/>
  <c r="K26" i="15"/>
  <c r="H26" i="15"/>
  <c r="C27" i="15" s="1"/>
  <c r="J29" i="13"/>
  <c r="G29" i="13"/>
  <c r="H29" i="13"/>
  <c r="C30" i="13" s="1"/>
  <c r="E28" i="2"/>
  <c r="F28" i="2"/>
  <c r="H28" i="2" s="1"/>
  <c r="J30" i="23" l="1"/>
  <c r="M30" i="23" s="1"/>
  <c r="D31" i="23" s="1"/>
  <c r="G28" i="3"/>
  <c r="E28" i="3"/>
  <c r="I28" i="3"/>
  <c r="H24" i="19"/>
  <c r="C25" i="19" s="1"/>
  <c r="M24" i="19"/>
  <c r="K24" i="19"/>
  <c r="D25" i="18"/>
  <c r="H24" i="16"/>
  <c r="M24" i="16"/>
  <c r="K24" i="16"/>
  <c r="I26" i="15"/>
  <c r="D27" i="15" s="1"/>
  <c r="E27" i="15" s="1"/>
  <c r="K29" i="13"/>
  <c r="I29" i="13"/>
  <c r="D30" i="13" s="1"/>
  <c r="C29" i="2"/>
  <c r="G28" i="2"/>
  <c r="I28" i="2" s="1"/>
  <c r="I31" i="23" l="1"/>
  <c r="G31" i="23"/>
  <c r="E31" i="23"/>
  <c r="K31" i="23" s="1"/>
  <c r="K28" i="3"/>
  <c r="F28" i="3"/>
  <c r="J28" i="3" s="1"/>
  <c r="I24" i="19"/>
  <c r="D25" i="19" s="1"/>
  <c r="I24" i="16"/>
  <c r="C25" i="16" s="1"/>
  <c r="F25" i="18"/>
  <c r="E25" i="18"/>
  <c r="N24" i="16"/>
  <c r="L24" i="16"/>
  <c r="F27" i="15"/>
  <c r="G27" i="15" s="1"/>
  <c r="M27" i="15" s="1"/>
  <c r="F30" i="13"/>
  <c r="E30" i="13"/>
  <c r="D29" i="2"/>
  <c r="F31" i="23" l="1"/>
  <c r="J31" i="23" s="1"/>
  <c r="M31" i="23" s="1"/>
  <c r="L31" i="23"/>
  <c r="H28" i="3"/>
  <c r="L28" i="3"/>
  <c r="M28" i="3" s="1"/>
  <c r="D29" i="3" s="1"/>
  <c r="N28" i="3"/>
  <c r="C29" i="3" s="1"/>
  <c r="F25" i="19"/>
  <c r="E25" i="19"/>
  <c r="J24" i="16"/>
  <c r="D25" i="16" s="1"/>
  <c r="G25" i="18"/>
  <c r="J25" i="18"/>
  <c r="H25" i="18" s="1"/>
  <c r="J27" i="15"/>
  <c r="K27" i="15"/>
  <c r="I27" i="15" s="1"/>
  <c r="D28" i="15" s="1"/>
  <c r="L27" i="15"/>
  <c r="J30" i="13"/>
  <c r="H30" i="13"/>
  <c r="C31" i="13" s="1"/>
  <c r="G30" i="13"/>
  <c r="E29" i="2"/>
  <c r="F29" i="2"/>
  <c r="H29" i="2" s="1"/>
  <c r="H31" i="23" l="1"/>
  <c r="N31" i="23" s="1"/>
  <c r="C32" i="23" s="1"/>
  <c r="D32" i="23"/>
  <c r="G29" i="3"/>
  <c r="E29" i="3"/>
  <c r="I29" i="3"/>
  <c r="G25" i="19"/>
  <c r="J25" i="19"/>
  <c r="L25" i="19"/>
  <c r="C26" i="18"/>
  <c r="K25" i="18"/>
  <c r="I25" i="18" s="1"/>
  <c r="G25" i="16"/>
  <c r="E25" i="16"/>
  <c r="F25" i="16" s="1"/>
  <c r="H27" i="15"/>
  <c r="C28" i="15" s="1"/>
  <c r="F28" i="15" s="1"/>
  <c r="K30" i="13"/>
  <c r="I30" i="13"/>
  <c r="D31" i="13" s="1"/>
  <c r="C30" i="2"/>
  <c r="G29" i="2"/>
  <c r="I29" i="2" s="1"/>
  <c r="I32" i="23" l="1"/>
  <c r="E32" i="23"/>
  <c r="F32" i="23" s="1"/>
  <c r="F33" i="23" s="1"/>
  <c r="G32" i="23"/>
  <c r="F29" i="3"/>
  <c r="H29" i="3" s="1"/>
  <c r="K29" i="3"/>
  <c r="H25" i="19"/>
  <c r="C26" i="19" s="1"/>
  <c r="M25" i="19"/>
  <c r="K25" i="19"/>
  <c r="D26" i="18"/>
  <c r="H25" i="16"/>
  <c r="K25" i="16"/>
  <c r="M25" i="16"/>
  <c r="L28" i="15"/>
  <c r="G28" i="15"/>
  <c r="J28" i="15"/>
  <c r="E28" i="15"/>
  <c r="F31" i="13"/>
  <c r="E31" i="13"/>
  <c r="D30" i="2"/>
  <c r="K32" i="23" l="1"/>
  <c r="L32" i="23" s="1"/>
  <c r="J32" i="23"/>
  <c r="M32" i="23" s="1"/>
  <c r="H32" i="23"/>
  <c r="N32" i="23" s="1"/>
  <c r="J29" i="3"/>
  <c r="L29" i="3"/>
  <c r="M29" i="3" s="1"/>
  <c r="D30" i="3" s="1"/>
  <c r="N29" i="3"/>
  <c r="C30" i="3" s="1"/>
  <c r="I25" i="19"/>
  <c r="D26" i="19" s="1"/>
  <c r="I25" i="16"/>
  <c r="C26" i="16" s="1"/>
  <c r="E26" i="18"/>
  <c r="F26" i="18"/>
  <c r="L25" i="16"/>
  <c r="N25" i="16"/>
  <c r="K28" i="15"/>
  <c r="M28" i="15"/>
  <c r="H28" i="15"/>
  <c r="C29" i="15" s="1"/>
  <c r="J31" i="13"/>
  <c r="G31" i="13"/>
  <c r="H31" i="13"/>
  <c r="C32" i="13" s="1"/>
  <c r="E30" i="2"/>
  <c r="F30" i="2"/>
  <c r="H30" i="2" s="1"/>
  <c r="K33" i="23" l="1"/>
  <c r="L33" i="23"/>
  <c r="G30" i="3"/>
  <c r="E30" i="3"/>
  <c r="I30" i="3"/>
  <c r="F26" i="19"/>
  <c r="E26" i="19"/>
  <c r="J25" i="16"/>
  <c r="D26" i="16" s="1"/>
  <c r="G26" i="18"/>
  <c r="J26" i="18"/>
  <c r="H26" i="18" s="1"/>
  <c r="I28" i="15"/>
  <c r="D29" i="15" s="1"/>
  <c r="F29" i="15" s="1"/>
  <c r="K31" i="13"/>
  <c r="I31" i="13"/>
  <c r="D32" i="13" s="1"/>
  <c r="E32" i="13" s="1"/>
  <c r="C31" i="2"/>
  <c r="G30" i="2"/>
  <c r="I30" i="2" s="1"/>
  <c r="K30" i="3" l="1"/>
  <c r="F30" i="3"/>
  <c r="J30" i="3" s="1"/>
  <c r="G26" i="19"/>
  <c r="J26" i="19"/>
  <c r="L26" i="19"/>
  <c r="C27" i="18"/>
  <c r="K26" i="18"/>
  <c r="I26" i="18" s="1"/>
  <c r="G26" i="16"/>
  <c r="E26" i="16"/>
  <c r="F26" i="16" s="1"/>
  <c r="E29" i="15"/>
  <c r="J29" i="15"/>
  <c r="L29" i="15"/>
  <c r="G29" i="15"/>
  <c r="K29" i="15" s="1"/>
  <c r="F32" i="13"/>
  <c r="D31" i="2"/>
  <c r="H30" i="3" l="1"/>
  <c r="L30" i="3"/>
  <c r="M30" i="3" s="1"/>
  <c r="D31" i="3" s="1"/>
  <c r="N30" i="3"/>
  <c r="C31" i="3" s="1"/>
  <c r="H26" i="19"/>
  <c r="C27" i="19" s="1"/>
  <c r="M26" i="19"/>
  <c r="K26" i="19"/>
  <c r="D27" i="18"/>
  <c r="H29" i="15"/>
  <c r="C30" i="15" s="1"/>
  <c r="H26" i="16"/>
  <c r="M26" i="16"/>
  <c r="K26" i="16"/>
  <c r="M29" i="15"/>
  <c r="I29" i="15" s="1"/>
  <c r="D30" i="15" s="1"/>
  <c r="J32" i="13"/>
  <c r="G32" i="13"/>
  <c r="H32" i="13"/>
  <c r="E31" i="2"/>
  <c r="F31" i="2"/>
  <c r="H31" i="2" s="1"/>
  <c r="G31" i="3" l="1"/>
  <c r="E31" i="3"/>
  <c r="I31" i="3"/>
  <c r="I26" i="19"/>
  <c r="D27" i="19" s="1"/>
  <c r="E27" i="19" s="1"/>
  <c r="I26" i="16"/>
  <c r="C27" i="16" s="1"/>
  <c r="E27" i="18"/>
  <c r="F27" i="18"/>
  <c r="N26" i="16"/>
  <c r="L26" i="16"/>
  <c r="F30" i="15"/>
  <c r="E30" i="15"/>
  <c r="K32" i="13"/>
  <c r="I32" i="13"/>
  <c r="C32" i="2"/>
  <c r="G31" i="2"/>
  <c r="I31" i="2" s="1"/>
  <c r="K31" i="3" l="1"/>
  <c r="F31" i="3"/>
  <c r="H31" i="3" s="1"/>
  <c r="F27" i="19"/>
  <c r="J26" i="16"/>
  <c r="D27" i="16" s="1"/>
  <c r="G27" i="18"/>
  <c r="J27" i="18"/>
  <c r="H27" i="18" s="1"/>
  <c r="J30" i="15"/>
  <c r="G30" i="15"/>
  <c r="L30" i="15"/>
  <c r="D32" i="2"/>
  <c r="J31" i="3" l="1"/>
  <c r="L31" i="3"/>
  <c r="M31" i="3" s="1"/>
  <c r="D32" i="3" s="1"/>
  <c r="N31" i="3"/>
  <c r="C32" i="3" s="1"/>
  <c r="G27" i="19"/>
  <c r="J27" i="19"/>
  <c r="L27" i="19"/>
  <c r="E27" i="16"/>
  <c r="F27" i="16" s="1"/>
  <c r="C28" i="18"/>
  <c r="K27" i="18"/>
  <c r="I27" i="18" s="1"/>
  <c r="G27" i="16"/>
  <c r="M30" i="15"/>
  <c r="K30" i="15"/>
  <c r="H30" i="15"/>
  <c r="C31" i="15" s="1"/>
  <c r="E32" i="2"/>
  <c r="F32" i="2"/>
  <c r="I32" i="3" l="1"/>
  <c r="G32" i="3"/>
  <c r="E32" i="3"/>
  <c r="H32" i="2"/>
  <c r="F33" i="2"/>
  <c r="H27" i="19"/>
  <c r="C28" i="19" s="1"/>
  <c r="M27" i="19"/>
  <c r="K27" i="19"/>
  <c r="D28" i="18"/>
  <c r="H27" i="16"/>
  <c r="K27" i="16"/>
  <c r="M27" i="16"/>
  <c r="I30" i="15"/>
  <c r="D31" i="15" s="1"/>
  <c r="G32" i="2"/>
  <c r="I32" i="2" s="1"/>
  <c r="F32" i="3" l="1"/>
  <c r="H32" i="3" s="1"/>
  <c r="K32" i="3"/>
  <c r="I27" i="19"/>
  <c r="D28" i="19" s="1"/>
  <c r="E28" i="19" s="1"/>
  <c r="I27" i="16"/>
  <c r="C28" i="16" s="1"/>
  <c r="E28" i="18"/>
  <c r="F28" i="18"/>
  <c r="N27" i="16"/>
  <c r="L27" i="16"/>
  <c r="E31" i="15"/>
  <c r="F31" i="15"/>
  <c r="G33" i="2"/>
  <c r="L32" i="3" l="1"/>
  <c r="K33" i="3"/>
  <c r="N32" i="3"/>
  <c r="J32" i="3"/>
  <c r="F33" i="3"/>
  <c r="F28" i="19"/>
  <c r="J27" i="16"/>
  <c r="D28" i="16" s="1"/>
  <c r="G28" i="18"/>
  <c r="J28" i="18"/>
  <c r="H28" i="18" s="1"/>
  <c r="G31" i="15"/>
  <c r="L31" i="15"/>
  <c r="J31" i="15"/>
  <c r="M32" i="3" l="1"/>
  <c r="L33" i="3"/>
  <c r="G28" i="19"/>
  <c r="J28" i="19"/>
  <c r="L28" i="19"/>
  <c r="C29" i="18"/>
  <c r="K28" i="18"/>
  <c r="I28" i="18" s="1"/>
  <c r="G28" i="16"/>
  <c r="E28" i="16"/>
  <c r="F28" i="16" s="1"/>
  <c r="H31" i="15"/>
  <c r="C32" i="15" s="1"/>
  <c r="K31" i="15"/>
  <c r="M31" i="15"/>
  <c r="H28" i="19" l="1"/>
  <c r="C29" i="19" s="1"/>
  <c r="M28" i="19"/>
  <c r="K28" i="19"/>
  <c r="D29" i="18"/>
  <c r="H28" i="16"/>
  <c r="M28" i="16"/>
  <c r="K28" i="16"/>
  <c r="I31" i="15"/>
  <c r="D32" i="15" s="1"/>
  <c r="F32" i="15" s="1"/>
  <c r="J32" i="15" s="1"/>
  <c r="I28" i="19" l="1"/>
  <c r="D29" i="19" s="1"/>
  <c r="E29" i="19" s="1"/>
  <c r="I28" i="16"/>
  <c r="C29" i="16" s="1"/>
  <c r="F29" i="18"/>
  <c r="E29" i="18"/>
  <c r="N28" i="16"/>
  <c r="L28" i="16"/>
  <c r="E32" i="15"/>
  <c r="G32" i="15"/>
  <c r="K32" i="15" s="1"/>
  <c r="L32" i="15"/>
  <c r="H32" i="15" s="1"/>
  <c r="F29" i="19" l="1"/>
  <c r="J28" i="16"/>
  <c r="D29" i="16" s="1"/>
  <c r="G29" i="18"/>
  <c r="J29" i="18"/>
  <c r="H29" i="18" s="1"/>
  <c r="M32" i="15"/>
  <c r="I32" i="15" s="1"/>
  <c r="G29" i="19" l="1"/>
  <c r="J29" i="19"/>
  <c r="L29" i="19"/>
  <c r="C30" i="18"/>
  <c r="K29" i="18"/>
  <c r="I29" i="18" s="1"/>
  <c r="G29" i="16"/>
  <c r="E29" i="16"/>
  <c r="F29" i="16" s="1"/>
  <c r="H29" i="19" l="1"/>
  <c r="C30" i="19" s="1"/>
  <c r="M29" i="19"/>
  <c r="K29" i="19"/>
  <c r="D30" i="18"/>
  <c r="H29" i="16"/>
  <c r="K29" i="16"/>
  <c r="M29" i="16"/>
  <c r="I29" i="19" l="1"/>
  <c r="D30" i="19" s="1"/>
  <c r="E30" i="19" s="1"/>
  <c r="I29" i="16"/>
  <c r="C30" i="16" s="1"/>
  <c r="E30" i="18"/>
  <c r="F30" i="18"/>
  <c r="L29" i="16"/>
  <c r="N29" i="16"/>
  <c r="F30" i="19" l="1"/>
  <c r="J29" i="16"/>
  <c r="D30" i="16" s="1"/>
  <c r="G30" i="18"/>
  <c r="J30" i="18"/>
  <c r="H30" i="18" s="1"/>
  <c r="G30" i="19" l="1"/>
  <c r="L30" i="19"/>
  <c r="J30" i="19"/>
  <c r="C31" i="18"/>
  <c r="K30" i="18"/>
  <c r="I30" i="18" s="1"/>
  <c r="G30" i="16"/>
  <c r="E30" i="16"/>
  <c r="F30" i="16" s="1"/>
  <c r="H30" i="19" l="1"/>
  <c r="C31" i="19" s="1"/>
  <c r="M30" i="19"/>
  <c r="K30" i="19"/>
  <c r="D31" i="18"/>
  <c r="H30" i="16"/>
  <c r="M30" i="16"/>
  <c r="K30" i="16"/>
  <c r="I30" i="19" l="1"/>
  <c r="D31" i="19" s="1"/>
  <c r="E31" i="19" s="1"/>
  <c r="I30" i="16"/>
  <c r="C31" i="16" s="1"/>
  <c r="E31" i="18"/>
  <c r="F31" i="18"/>
  <c r="N30" i="16"/>
  <c r="L30" i="16"/>
  <c r="F31" i="19" l="1"/>
  <c r="J30" i="16"/>
  <c r="D31" i="16" s="1"/>
  <c r="G31" i="18"/>
  <c r="J31" i="18"/>
  <c r="H31" i="18" s="1"/>
  <c r="G31" i="19" l="1"/>
  <c r="J31" i="19"/>
  <c r="L31" i="19"/>
  <c r="C32" i="18"/>
  <c r="K31" i="18"/>
  <c r="I31" i="18" s="1"/>
  <c r="G31" i="16"/>
  <c r="E31" i="16"/>
  <c r="F31" i="16" s="1"/>
  <c r="H31" i="19" l="1"/>
  <c r="C32" i="19" s="1"/>
  <c r="M31" i="19"/>
  <c r="K31" i="19"/>
  <c r="D32" i="18"/>
  <c r="H31" i="16"/>
  <c r="M31" i="16"/>
  <c r="K31" i="16"/>
  <c r="I31" i="19" l="1"/>
  <c r="D32" i="19" s="1"/>
  <c r="E32" i="19" s="1"/>
  <c r="I31" i="16"/>
  <c r="C32" i="16" s="1"/>
  <c r="F32" i="18"/>
  <c r="E32" i="18"/>
  <c r="N31" i="16"/>
  <c r="L31" i="16"/>
  <c r="F32" i="19" l="1"/>
  <c r="F33" i="19" s="1"/>
  <c r="J31" i="16"/>
  <c r="D32" i="16" s="1"/>
  <c r="G32" i="18"/>
  <c r="J32" i="18"/>
  <c r="H32" i="18" s="1"/>
  <c r="G32" i="19" l="1"/>
  <c r="G33" i="19" s="1"/>
  <c r="J32" i="19"/>
  <c r="L32" i="19"/>
  <c r="E32" i="16"/>
  <c r="F32" i="16" s="1"/>
  <c r="F33" i="16" s="1"/>
  <c r="K32" i="18"/>
  <c r="I32" i="18" s="1"/>
  <c r="G32" i="16"/>
  <c r="N34" i="19" l="1"/>
  <c r="H32" i="19"/>
  <c r="M32" i="19"/>
  <c r="K32" i="19"/>
  <c r="H32" i="16"/>
  <c r="M32" i="16"/>
  <c r="K32" i="16"/>
  <c r="I32" i="19" l="1"/>
  <c r="I32" i="16"/>
  <c r="L32" i="16"/>
  <c r="N32" i="16"/>
  <c r="J32" i="16" l="1"/>
  <c r="O7" i="22"/>
  <c r="I7" i="22"/>
  <c r="M7" i="22"/>
  <c r="G7" i="22"/>
  <c r="H7" i="22" s="1"/>
  <c r="K7" i="22"/>
  <c r="L7" i="22" l="1"/>
  <c r="Q7" i="22" s="1"/>
  <c r="D8" i="22" s="1"/>
  <c r="V7" i="22"/>
  <c r="W7" i="22" s="1"/>
  <c r="N7" i="22"/>
  <c r="T7" i="22" s="1"/>
  <c r="E8" i="22" s="1"/>
  <c r="J7" i="22"/>
  <c r="R7" i="22" s="1"/>
  <c r="C8" i="22" s="1"/>
  <c r="P7" i="22"/>
  <c r="S7" i="22" s="1"/>
  <c r="F8" i="22" s="1"/>
  <c r="G8" i="22" l="1"/>
  <c r="H8" i="22" s="1"/>
  <c r="M8" i="22"/>
  <c r="I8" i="22"/>
  <c r="K8" i="22"/>
  <c r="O8" i="22"/>
  <c r="V8" i="22" l="1"/>
  <c r="W8" i="22" s="1"/>
  <c r="J8" i="22"/>
  <c r="R8" i="22" s="1"/>
  <c r="C9" i="22" s="1"/>
  <c r="N8" i="22"/>
  <c r="T8" i="22" s="1"/>
  <c r="E9" i="22" s="1"/>
  <c r="L8" i="22"/>
  <c r="Q8" i="22" s="1"/>
  <c r="D9" i="22" s="1"/>
  <c r="P8" i="22"/>
  <c r="S8" i="22" s="1"/>
  <c r="F9" i="22" s="1"/>
  <c r="G9" i="22" l="1"/>
  <c r="H9" i="22" s="1"/>
  <c r="K9" i="22"/>
  <c r="I9" i="22"/>
  <c r="O9" i="22"/>
  <c r="M9" i="22"/>
  <c r="N9" i="22" l="1"/>
  <c r="T9" i="22" s="1"/>
  <c r="E10" i="22" s="1"/>
  <c r="P9" i="22"/>
  <c r="S9" i="22" s="1"/>
  <c r="F10" i="22" s="1"/>
  <c r="L9" i="22"/>
  <c r="Q9" i="22" s="1"/>
  <c r="D10" i="22" s="1"/>
  <c r="V9" i="22"/>
  <c r="W9" i="22" s="1"/>
  <c r="J9" i="22"/>
  <c r="R9" i="22" s="1"/>
  <c r="C10" i="22" s="1"/>
  <c r="M10" i="22" l="1"/>
  <c r="G10" i="22"/>
  <c r="H10" i="22" s="1"/>
  <c r="N10" i="22" s="1"/>
  <c r="T10" i="22" s="1"/>
  <c r="E11" i="22" s="1"/>
  <c r="K10" i="22"/>
  <c r="O10" i="22"/>
  <c r="I10" i="22"/>
  <c r="J10" i="22" s="1"/>
  <c r="R10" i="22" s="1"/>
  <c r="C11" i="22" s="1"/>
  <c r="V10" i="22"/>
  <c r="W10" i="22" s="1"/>
  <c r="P10" i="22" l="1"/>
  <c r="S10" i="22" s="1"/>
  <c r="F11" i="22" s="1"/>
  <c r="K11" i="22" s="1"/>
  <c r="L10" i="22"/>
  <c r="Q10" i="22" s="1"/>
  <c r="D11" i="22" s="1"/>
  <c r="M11" i="22" s="1"/>
  <c r="O11" i="22" l="1"/>
  <c r="G11" i="22"/>
  <c r="I11" i="22"/>
  <c r="V11" i="22"/>
  <c r="H11" i="22"/>
  <c r="J11" i="22" s="1"/>
  <c r="R11" i="22" s="1"/>
  <c r="C12" i="22" s="1"/>
  <c r="P11" i="22" l="1"/>
  <c r="S11" i="22" s="1"/>
  <c r="F12" i="22" s="1"/>
  <c r="N11" i="22"/>
  <c r="T11" i="22" s="1"/>
  <c r="E12" i="22" s="1"/>
  <c r="W11" i="22"/>
  <c r="L11" i="22"/>
  <c r="Q11" i="22" s="1"/>
  <c r="D12" i="22" s="1"/>
  <c r="O12" i="22" l="1"/>
  <c r="M12" i="22"/>
  <c r="G12" i="22"/>
  <c r="K12" i="22"/>
  <c r="I12" i="22"/>
  <c r="H12" i="22" l="1"/>
  <c r="N12" i="22" s="1"/>
  <c r="T12" i="22" s="1"/>
  <c r="E13" i="22" s="1"/>
  <c r="V12" i="22"/>
  <c r="L12" i="22" l="1"/>
  <c r="Q12" i="22" s="1"/>
  <c r="D13" i="22" s="1"/>
  <c r="P12" i="22"/>
  <c r="S12" i="22" s="1"/>
  <c r="F13" i="22" s="1"/>
  <c r="J12" i="22"/>
  <c r="R12" i="22" s="1"/>
  <c r="C13" i="22" s="1"/>
  <c r="W12" i="22"/>
  <c r="O13" i="22" l="1"/>
  <c r="M13" i="22"/>
  <c r="I13" i="22"/>
  <c r="K13" i="22"/>
  <c r="G13" i="22"/>
  <c r="H13" i="22" s="1"/>
  <c r="V13" i="22" l="1"/>
  <c r="W13" i="22" s="1"/>
  <c r="J13" i="22"/>
  <c r="R13" i="22" s="1"/>
  <c r="C14" i="22" s="1"/>
  <c r="N13" i="22"/>
  <c r="T13" i="22" s="1"/>
  <c r="E14" i="22" s="1"/>
  <c r="P13" i="22"/>
  <c r="S13" i="22" s="1"/>
  <c r="F14" i="22" s="1"/>
  <c r="L13" i="22"/>
  <c r="Q13" i="22" s="1"/>
  <c r="D14" i="22" s="1"/>
  <c r="G14" i="22" l="1"/>
  <c r="H14" i="22" s="1"/>
  <c r="O14" i="22"/>
  <c r="I14" i="22"/>
  <c r="M14" i="22"/>
  <c r="K14" i="22"/>
  <c r="V14" i="22" l="1"/>
  <c r="W14" i="22" s="1"/>
  <c r="N14" i="22"/>
  <c r="T14" i="22" s="1"/>
  <c r="J14" i="22"/>
  <c r="R14" i="22" s="1"/>
  <c r="C15" i="22" s="1"/>
  <c r="L14" i="22"/>
  <c r="Q14" i="22" s="1"/>
  <c r="P14" i="22"/>
  <c r="S14" i="22" s="1"/>
  <c r="F15" i="22" l="1"/>
  <c r="D15" i="22"/>
  <c r="E15" i="22"/>
  <c r="M15" i="22" l="1"/>
  <c r="O15" i="22"/>
  <c r="G15" i="22"/>
  <c r="V15" i="22" s="1"/>
  <c r="W15" i="22" s="1"/>
  <c r="K15" i="22"/>
  <c r="I15" i="22"/>
  <c r="H15" i="22" l="1"/>
  <c r="L15" i="22" l="1"/>
  <c r="Q15" i="22" s="1"/>
  <c r="D16" i="22" s="1"/>
  <c r="P15" i="22"/>
  <c r="S15" i="22" s="1"/>
  <c r="F16" i="22" s="1"/>
  <c r="J15" i="22"/>
  <c r="R15" i="22" s="1"/>
  <c r="C16" i="22" s="1"/>
  <c r="N15" i="22"/>
  <c r="T15" i="22" s="1"/>
  <c r="E16" i="22" s="1"/>
  <c r="G16" i="22" l="1"/>
  <c r="O16" i="22"/>
  <c r="K16" i="22"/>
  <c r="M16" i="22"/>
  <c r="I16" i="22"/>
  <c r="V16" i="22" l="1"/>
  <c r="W16" i="22" s="1"/>
  <c r="H16" i="22"/>
  <c r="L16" i="22" s="1"/>
  <c r="Q16" i="22" s="1"/>
  <c r="D17" i="22" s="1"/>
  <c r="J16" i="22" l="1"/>
  <c r="R16" i="22" s="1"/>
  <c r="C17" i="22" s="1"/>
  <c r="P16" i="22"/>
  <c r="S16" i="22" s="1"/>
  <c r="F17" i="22" s="1"/>
  <c r="N16" i="22"/>
  <c r="T16" i="22" s="1"/>
  <c r="E17" i="22" s="1"/>
  <c r="M17" i="22" l="1"/>
  <c r="O17" i="22"/>
  <c r="K17" i="22"/>
  <c r="I17" i="22"/>
  <c r="G17" i="22"/>
  <c r="V17" i="22" l="1"/>
  <c r="W17" i="22" s="1"/>
  <c r="H17" i="22"/>
  <c r="L17" i="22" s="1"/>
  <c r="Q17" i="22" s="1"/>
  <c r="D18" i="22" s="1"/>
  <c r="J17" i="22" l="1"/>
  <c r="R17" i="22" s="1"/>
  <c r="C18" i="22" s="1"/>
  <c r="N17" i="22"/>
  <c r="T17" i="22" s="1"/>
  <c r="E18" i="22" s="1"/>
  <c r="P17" i="22"/>
  <c r="S17" i="22" s="1"/>
  <c r="F18" i="22" s="1"/>
  <c r="M18" i="22" l="1"/>
  <c r="G18" i="22"/>
  <c r="V18" i="22" s="1"/>
  <c r="W18" i="22" s="1"/>
  <c r="K18" i="22"/>
  <c r="I18" i="22"/>
  <c r="O18" i="22"/>
  <c r="H18" i="22" l="1"/>
  <c r="L18" i="22" s="1"/>
  <c r="Q18" i="22" s="1"/>
  <c r="D19" i="22" s="1"/>
  <c r="P18" i="22" l="1"/>
  <c r="S18" i="22" s="1"/>
  <c r="F19" i="22" s="1"/>
  <c r="J18" i="22"/>
  <c r="R18" i="22" s="1"/>
  <c r="C19" i="22" s="1"/>
  <c r="N18" i="22"/>
  <c r="T18" i="22" s="1"/>
  <c r="E19" i="22" s="1"/>
  <c r="M19" i="22" l="1"/>
  <c r="G19" i="22"/>
  <c r="V19" i="22" s="1"/>
  <c r="W19" i="22" s="1"/>
  <c r="K19" i="22"/>
  <c r="O19" i="22"/>
  <c r="I19" i="22"/>
  <c r="H19" i="22" l="1"/>
  <c r="P19" i="22" s="1"/>
  <c r="S19" i="22" s="1"/>
  <c r="F20" i="22" s="1"/>
  <c r="N19" i="22" l="1"/>
  <c r="T19" i="22" s="1"/>
  <c r="E20" i="22" s="1"/>
  <c r="L19" i="22"/>
  <c r="Q19" i="22" s="1"/>
  <c r="D20" i="22" s="1"/>
  <c r="J19" i="22"/>
  <c r="R19" i="22" s="1"/>
  <c r="C20" i="22" s="1"/>
  <c r="I20" i="22" l="1"/>
  <c r="G20" i="22"/>
  <c r="H20" i="22" s="1"/>
  <c r="M20" i="22"/>
  <c r="K20" i="22"/>
  <c r="O20" i="22"/>
  <c r="J20" i="22" l="1"/>
  <c r="R20" i="22" s="1"/>
  <c r="C21" i="22" s="1"/>
  <c r="V20" i="22"/>
  <c r="W20" i="22" s="1"/>
  <c r="N20" i="22"/>
  <c r="T20" i="22" s="1"/>
  <c r="E21" i="22" s="1"/>
  <c r="P20" i="22"/>
  <c r="S20" i="22" s="1"/>
  <c r="F21" i="22" s="1"/>
  <c r="L20" i="22"/>
  <c r="Q20" i="22" s="1"/>
  <c r="D21" i="22" s="1"/>
  <c r="I21" i="22" l="1"/>
  <c r="G21" i="22"/>
  <c r="K21" i="22"/>
  <c r="M21" i="22"/>
  <c r="O21" i="22"/>
  <c r="H21" i="22" l="1"/>
  <c r="P21" i="22" s="1"/>
  <c r="S21" i="22" s="1"/>
  <c r="F22" i="22" s="1"/>
  <c r="V21" i="22"/>
  <c r="W21" i="22" s="1"/>
  <c r="N21" i="22" l="1"/>
  <c r="T21" i="22" s="1"/>
  <c r="E22" i="22" s="1"/>
  <c r="J21" i="22"/>
  <c r="R21" i="22" s="1"/>
  <c r="C22" i="22" s="1"/>
  <c r="L21" i="22"/>
  <c r="Q21" i="22" s="1"/>
  <c r="D22" i="22" s="1"/>
  <c r="I22" i="22" l="1"/>
  <c r="K22" i="22"/>
  <c r="O22" i="22"/>
  <c r="M22" i="22"/>
  <c r="G22" i="22"/>
  <c r="V22" i="22" l="1"/>
  <c r="W22" i="22" s="1"/>
  <c r="H22" i="22"/>
  <c r="J22" i="22" s="1"/>
  <c r="R22" i="22" s="1"/>
  <c r="C23" i="22" s="1"/>
  <c r="L22" i="22" l="1"/>
  <c r="Q22" i="22" s="1"/>
  <c r="D23" i="22" s="1"/>
  <c r="P22" i="22"/>
  <c r="S22" i="22" s="1"/>
  <c r="F23" i="22" s="1"/>
  <c r="N22" i="22"/>
  <c r="T22" i="22" s="1"/>
  <c r="E23" i="22" s="1"/>
  <c r="K23" i="22" l="1"/>
  <c r="M23" i="22"/>
  <c r="I23" i="22"/>
  <c r="G23" i="22"/>
  <c r="O23" i="22"/>
  <c r="H23" i="22" l="1"/>
  <c r="J23" i="22" s="1"/>
  <c r="R23" i="22" s="1"/>
  <c r="C24" i="22" s="1"/>
  <c r="V23" i="22"/>
  <c r="W23" i="22" s="1"/>
  <c r="L23" i="22" l="1"/>
  <c r="Q23" i="22" s="1"/>
  <c r="D24" i="22" s="1"/>
  <c r="P23" i="22"/>
  <c r="S23" i="22" s="1"/>
  <c r="F24" i="22" s="1"/>
  <c r="N23" i="22"/>
  <c r="T23" i="22" s="1"/>
  <c r="E24" i="22" s="1"/>
  <c r="M24" i="22" l="1"/>
  <c r="K24" i="22"/>
  <c r="I24" i="22"/>
  <c r="G24" i="22"/>
  <c r="H24" i="22" s="1"/>
  <c r="O24" i="22"/>
  <c r="N24" i="22" l="1"/>
  <c r="T24" i="22" s="1"/>
  <c r="E25" i="22" s="1"/>
  <c r="V24" i="22"/>
  <c r="W24" i="22" s="1"/>
  <c r="L24" i="22"/>
  <c r="Q24" i="22" s="1"/>
  <c r="D25" i="22" s="1"/>
  <c r="P24" i="22"/>
  <c r="S24" i="22" s="1"/>
  <c r="F25" i="22" s="1"/>
  <c r="J24" i="22"/>
  <c r="R24" i="22" s="1"/>
  <c r="C25" i="22" s="1"/>
  <c r="I25" i="22" l="1"/>
  <c r="M25" i="22"/>
  <c r="O25" i="22"/>
  <c r="G25" i="22"/>
  <c r="V25" i="22" s="1"/>
  <c r="W25" i="22" s="1"/>
  <c r="K25" i="22"/>
  <c r="H25" i="22" l="1"/>
  <c r="J25" i="22" s="1"/>
  <c r="R25" i="22" s="1"/>
  <c r="C26" i="22" s="1"/>
  <c r="N25" i="22" l="1"/>
  <c r="T25" i="22" s="1"/>
  <c r="E26" i="22" s="1"/>
  <c r="L25" i="22"/>
  <c r="Q25" i="22" s="1"/>
  <c r="D26" i="22" s="1"/>
  <c r="P25" i="22"/>
  <c r="S25" i="22" s="1"/>
  <c r="F26" i="22" s="1"/>
  <c r="O26" i="22" l="1"/>
  <c r="G26" i="22"/>
  <c r="V26" i="22" s="1"/>
  <c r="W26" i="22" s="1"/>
  <c r="K26" i="22"/>
  <c r="M26" i="22"/>
  <c r="I26" i="22"/>
  <c r="H26" i="22" l="1"/>
  <c r="L26" i="22" s="1"/>
  <c r="Q26" i="22" s="1"/>
  <c r="D27" i="22" s="1"/>
  <c r="P26" i="22" l="1"/>
  <c r="S26" i="22" s="1"/>
  <c r="F27" i="22" s="1"/>
  <c r="N26" i="22"/>
  <c r="T26" i="22" s="1"/>
  <c r="E27" i="22" s="1"/>
  <c r="J26" i="22"/>
  <c r="R26" i="22" s="1"/>
  <c r="C27" i="22" s="1"/>
  <c r="M27" i="22" l="1"/>
  <c r="K27" i="22"/>
  <c r="I27" i="22"/>
  <c r="O27" i="22"/>
  <c r="G27" i="22"/>
  <c r="V27" i="22" s="1"/>
  <c r="W27" i="22" s="1"/>
  <c r="H27" i="22" l="1"/>
  <c r="J27" i="22" s="1"/>
  <c r="R27" i="22" s="1"/>
  <c r="C28" i="22" s="1"/>
  <c r="L27" i="22" l="1"/>
  <c r="Q27" i="22" s="1"/>
  <c r="D28" i="22" s="1"/>
  <c r="P27" i="22"/>
  <c r="S27" i="22" s="1"/>
  <c r="F28" i="22" s="1"/>
  <c r="N27" i="22"/>
  <c r="T27" i="22" s="1"/>
  <c r="E28" i="22" s="1"/>
  <c r="M28" i="22" l="1"/>
  <c r="I28" i="22"/>
  <c r="O28" i="22"/>
  <c r="K28" i="22"/>
  <c r="G28" i="22"/>
  <c r="V28" i="22" s="1"/>
  <c r="W28" i="22" s="1"/>
  <c r="H28" i="22" l="1"/>
  <c r="L28" i="22" s="1"/>
  <c r="Q28" i="22" s="1"/>
  <c r="D29" i="22" s="1"/>
  <c r="N28" i="22" l="1"/>
  <c r="T28" i="22" s="1"/>
  <c r="E29" i="22" s="1"/>
  <c r="P28" i="22"/>
  <c r="S28" i="22" s="1"/>
  <c r="F29" i="22" s="1"/>
  <c r="J28" i="22"/>
  <c r="R28" i="22" s="1"/>
  <c r="C29" i="22" s="1"/>
  <c r="K29" i="22" l="1"/>
  <c r="G29" i="22"/>
  <c r="V29" i="22" s="1"/>
  <c r="W29" i="22" s="1"/>
  <c r="I29" i="22"/>
  <c r="O29" i="22"/>
  <c r="M29" i="22"/>
  <c r="H29" i="22" l="1"/>
  <c r="P29" i="22" s="1"/>
  <c r="S29" i="22" s="1"/>
  <c r="F30" i="22" s="1"/>
  <c r="J29" i="22" l="1"/>
  <c r="R29" i="22" s="1"/>
  <c r="C30" i="22" s="1"/>
  <c r="N29" i="22"/>
  <c r="T29" i="22" s="1"/>
  <c r="E30" i="22" s="1"/>
  <c r="L29" i="22"/>
  <c r="Q29" i="22" s="1"/>
  <c r="D30" i="22" s="1"/>
  <c r="M30" i="22" l="1"/>
  <c r="K30" i="22"/>
  <c r="O30" i="22"/>
  <c r="G30" i="22"/>
  <c r="H30" i="22" s="1"/>
  <c r="P30" i="22" s="1"/>
  <c r="S30" i="22" s="1"/>
  <c r="F31" i="22" s="1"/>
  <c r="I30" i="22"/>
  <c r="V30" i="22" l="1"/>
  <c r="W30" i="22" s="1"/>
  <c r="L30" i="22"/>
  <c r="Q30" i="22" s="1"/>
  <c r="D31" i="22" s="1"/>
  <c r="J30" i="22"/>
  <c r="R30" i="22" s="1"/>
  <c r="C31" i="22" s="1"/>
  <c r="N30" i="22"/>
  <c r="T30" i="22" s="1"/>
  <c r="E31" i="22" s="1"/>
  <c r="I31" i="22" l="1"/>
  <c r="O31" i="22"/>
  <c r="K31" i="22"/>
  <c r="M31" i="22"/>
  <c r="G31" i="22"/>
  <c r="H31" i="22" l="1"/>
  <c r="N31" i="22" s="1"/>
  <c r="T31" i="22" s="1"/>
  <c r="E32" i="22" s="1"/>
  <c r="V31" i="22"/>
  <c r="W31" i="22" s="1"/>
  <c r="J31" i="22" l="1"/>
  <c r="R31" i="22" s="1"/>
  <c r="C32" i="22" s="1"/>
  <c r="P31" i="22"/>
  <c r="S31" i="22" s="1"/>
  <c r="F32" i="22" s="1"/>
  <c r="L31" i="22"/>
  <c r="Q31" i="22" s="1"/>
  <c r="D32" i="22" s="1"/>
  <c r="O32" i="22" l="1"/>
  <c r="G32" i="22"/>
  <c r="K32" i="22"/>
  <c r="M32" i="22"/>
  <c r="I32" i="22"/>
  <c r="H32" i="22" l="1"/>
  <c r="L32" i="22" s="1"/>
  <c r="Q32" i="22" s="1"/>
  <c r="D33" i="22" s="1"/>
  <c r="V32" i="22"/>
  <c r="W32" i="22" s="1"/>
  <c r="P32" i="22" l="1"/>
  <c r="S32" i="22" s="1"/>
  <c r="F33" i="22" s="1"/>
  <c r="N32" i="22"/>
  <c r="T32" i="22" s="1"/>
  <c r="E33" i="22" s="1"/>
  <c r="J32" i="22"/>
  <c r="R32" i="22" s="1"/>
  <c r="C33" i="22" s="1"/>
  <c r="K33" i="22" l="1"/>
  <c r="I33" i="22"/>
  <c r="G33" i="22"/>
  <c r="H33" i="22" s="1"/>
  <c r="M33" i="22"/>
  <c r="O33" i="22"/>
  <c r="N33" i="22" l="1"/>
  <c r="T33" i="22" s="1"/>
  <c r="E34" i="22" s="1"/>
  <c r="V33" i="22"/>
  <c r="W33" i="22" s="1"/>
  <c r="J33" i="22"/>
  <c r="R33" i="22" s="1"/>
  <c r="C34" i="22" s="1"/>
  <c r="L33" i="22"/>
  <c r="Q33" i="22" s="1"/>
  <c r="D34" i="22" s="1"/>
  <c r="P33" i="22"/>
  <c r="S33" i="22" s="1"/>
  <c r="F34" i="22" s="1"/>
  <c r="I34" i="22" l="1"/>
  <c r="G34" i="22"/>
  <c r="M34" i="22"/>
  <c r="K34" i="22"/>
  <c r="O34" i="22"/>
  <c r="H34" i="22" l="1"/>
  <c r="L34" i="22" s="1"/>
  <c r="Q34" i="22" s="1"/>
  <c r="D35" i="22" s="1"/>
  <c r="V34" i="22"/>
  <c r="W34" i="22" l="1"/>
  <c r="J34" i="22"/>
  <c r="R34" i="22" s="1"/>
  <c r="C35" i="22" s="1"/>
  <c r="N34" i="22"/>
  <c r="T34" i="22" s="1"/>
  <c r="E35" i="22" s="1"/>
  <c r="P34" i="22"/>
  <c r="S34" i="22" s="1"/>
  <c r="F35" i="22" s="1"/>
  <c r="K35" i="22" l="1"/>
  <c r="I35" i="22"/>
  <c r="M35" i="22"/>
  <c r="G35" i="22"/>
  <c r="O35" i="22"/>
  <c r="V35" i="22" l="1"/>
  <c r="H35" i="22"/>
  <c r="N35" i="22" s="1"/>
  <c r="T35" i="22" s="1"/>
  <c r="P35" i="22" l="1"/>
  <c r="S35" i="22" s="1"/>
  <c r="H36" i="22"/>
  <c r="J35" i="22"/>
  <c r="R35" i="22" s="1"/>
  <c r="L35" i="22"/>
  <c r="Q35" i="22" s="1"/>
  <c r="W35" i="22"/>
  <c r="W36" i="22" s="1"/>
  <c r="V36"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tc={824AD3A1-8D55-984B-B963-5046FABFA38C}</author>
    <author>tc={60FD1385-4F44-B844-AE08-0524957D5FB2}</author>
    <author>tc={13358A2E-D0D0-0D40-85D1-B264AD808DB4}</author>
    <author>tc={CFEDBBF2-1FE8-E04A-9325-61CE305D3234}</author>
  </authors>
  <commentList>
    <comment ref="B3" authorId="0" shapeId="0" xr:uid="{824AD3A1-8D55-984B-B963-5046FABFA38C}">
      <text>
        <t>[Threaded comment]
Your version of Excel allows you to read this threaded comment; however, any edits to it will get removed if the file is opened in a newer version of Excel. Learn more: https://go.microsoft.com/fwlink/?linkid=870924
Comment:
    We can see it as a single neuron (a neural network without networking)</t>
      </text>
    </comment>
    <comment ref="B10" authorId="1" shapeId="0" xr:uid="{60FD1385-4F44-B844-AE08-0524957D5FB2}">
      <text>
        <t>[Threaded comment]
Your version of Excel allows you to read this threaded comment; however, any edits to it will get removed if the file is opened in a newer version of Excel. Learn more: https://go.microsoft.com/fwlink/?linkid=870924
Comment:
    The key questions is how to do the ‘update’
Reply:
    In fact, this line describes both forward and backward operations (the essence of NN)</t>
      </text>
    </comment>
    <comment ref="B19" authorId="2" shapeId="0" xr:uid="{13358A2E-D0D0-0D40-85D1-B264AD808DB4}">
      <text>
        <t>[Threaded comment]
Your version of Excel allows you to read this threaded comment; however, any edits to it will get removed if the file is opened in a newer version of Excel. Learn more: https://go.microsoft.com/fwlink/?linkid=870924
Comment:
    To test the universal concepts which can be applied in many cases including CV, we don’t have to use images as dataset. This way, we can run faster in excel</t>
      </text>
    </comment>
    <comment ref="B30" authorId="3" shapeId="0" xr:uid="{CFEDBBF2-1FE8-E04A-9325-61CE305D3234}">
      <text>
        <t>[Threaded comment]
Your version of Excel allows you to read this threaded comment; however, any edits to it will get removed if the file is opened in a newer version of Excel. Learn more: https://go.microsoft.com/fwlink/?linkid=870924
Comment:
    I can add more optimization functions to test.
Reply:
    How the different optimization functions are compared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Rachel Thomas</author>
  </authors>
  <commentList>
    <comment ref="C2" authorId="0" shapeId="0" xr:uid="{00000000-0006-0000-0100-000001000000}">
      <text>
        <r>
          <rPr>
            <b/>
            <sz val="9"/>
            <color rgb="FF000000"/>
            <rFont val="Tahoma"/>
            <family val="2"/>
          </rPr>
          <t>Rachel Thomas:</t>
        </r>
        <r>
          <rPr>
            <sz val="9"/>
            <color rgb="FF000000"/>
            <rFont val="Tahoma"/>
            <family val="2"/>
          </rPr>
          <t xml:space="preserve">
</t>
        </r>
        <r>
          <rPr>
            <sz val="9"/>
            <color rgb="FF000000"/>
            <rFont val="Tahoma"/>
            <family val="2"/>
          </rPr>
          <t>We just arbitrarily chose values for a, b.  In the other sheets, we will see if our optimizers can get near these true values.</t>
        </r>
      </text>
    </comment>
    <comment ref="B5" authorId="0" shapeId="0" xr:uid="{00000000-0006-0000-0100-000002000000}">
      <text>
        <r>
          <rPr>
            <b/>
            <sz val="9"/>
            <color rgb="FF000000"/>
            <rFont val="Tahoma"/>
            <family val="2"/>
          </rPr>
          <t>Rachel Thomas:</t>
        </r>
        <r>
          <rPr>
            <sz val="9"/>
            <color rgb="FF000000"/>
            <rFont val="Tahoma"/>
            <family val="2"/>
          </rPr>
          <t xml:space="preserve">
</t>
        </r>
        <r>
          <rPr>
            <sz val="9"/>
            <color rgb="FF000000"/>
            <rFont val="Tahoma"/>
            <family val="2"/>
          </rPr>
          <t>x values are randomly chosen.  For CNNs, x would be our image data</t>
        </r>
      </text>
    </comment>
    <comment ref="C5" authorId="0" shapeId="0" xr:uid="{00000000-0006-0000-0100-000003000000}">
      <text>
        <r>
          <rPr>
            <b/>
            <sz val="9"/>
            <color rgb="FF000000"/>
            <rFont val="Tahoma"/>
            <family val="2"/>
          </rPr>
          <t>Rachel Thomas:</t>
        </r>
        <r>
          <rPr>
            <sz val="9"/>
            <color rgb="FF000000"/>
            <rFont val="Tahoma"/>
            <family val="2"/>
          </rPr>
          <t xml:space="preserve">
</t>
        </r>
        <r>
          <rPr>
            <sz val="9"/>
            <color rgb="FF000000"/>
            <rFont val="Tahoma"/>
            <family val="2"/>
          </rPr>
          <t>Here we calculate y (using the "true" a and b).  This is the value our model is trying to predict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Jeremy Howard</author>
    <author>tc={5CFD5FA1-2E7E-9C48-BF1F-AE6A35E1232C}</author>
    <author>Rachel Thomas</author>
    <author>tc={F296575E-C434-DB42-9F6D-43A63184587A}</author>
  </authors>
  <commentList>
    <comment ref="C1" authorId="0" shapeId="0" xr:uid="{00000000-0006-0000-0200-000001000000}">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F1" authorId="0" shapeId="0" xr:uid="{00000000-0006-0000-0200-000002000000}">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3" authorId="0" shapeId="0" xr:uid="{00000000-0006-0000-0200-000003000000}">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G3" authorId="1" shapeId="0" xr:uid="{5CFD5FA1-2E7E-9C48-BF1F-AE6A35E1232C}">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H3" authorId="2" shapeId="0" xr:uid="{00000000-0006-0000-0200-000004000000}">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I3" authorId="3" shapeId="0" xr:uid="{F296575E-C434-DB42-9F6D-43A63184587A}">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K3" authorId="2" shapeId="0" xr:uid="{00000000-0006-0000-0200-000005000000}">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4" authorId="0" shapeId="0" xr:uid="{00000000-0006-0000-0200-000006000000}">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M4" authorId="0" shapeId="0" xr:uid="{00000000-0006-0000-0200-000007000000}">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5" authorId="0" shapeId="0" xr:uid="{00000000-0006-0000-0200-000008000000}">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Jeremy Howard</author>
    <author>tc={7594B638-86BD-D54D-BE13-C32C9C33D79E}</author>
    <author>Rachel Thomas</author>
    <author>tc={68E31282-46DC-9F4B-8F73-16C9F58FDC19}</author>
  </authors>
  <commentList>
    <comment ref="C1" authorId="0" shapeId="0" xr:uid="{6A3988A6-BFF8-ED44-95FD-CF3BF39E6807}">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F1" authorId="0" shapeId="0" xr:uid="{D0BB9F2B-B229-3641-8A5E-11220C0C7064}">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3" authorId="0" shapeId="0" xr:uid="{A2B2BB8B-3BBA-7E4E-8C19-EB6DF56B75DC}">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G3" authorId="1" shapeId="0" xr:uid="{7594B638-86BD-D54D-BE13-C32C9C33D79E}">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H3" authorId="2" shapeId="0" xr:uid="{A3EA9416-E650-074D-A5FA-D60B730CFA61}">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I3" authorId="3" shapeId="0" xr:uid="{68E31282-46DC-9F4B-8F73-16C9F58FDC19}">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K3" authorId="2" shapeId="0" xr:uid="{BC46CCD9-60A6-AA4D-B5FB-F901E3A62515}">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4" authorId="0" shapeId="0" xr:uid="{52E44ABB-1354-904C-AB18-4766C0BBCA53}">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M4" authorId="0" shapeId="0" xr:uid="{6588533D-6CDD-9642-B521-C413DAD6F3B9}">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5" authorId="0" shapeId="0" xr:uid="{D44B87AB-9537-BF4E-8B09-3CB04EFD26FC}">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Jeremy Howard</author>
    <author>tc={2570C321-FD1E-0342-8231-37E33911166E}</author>
    <author>Rachel Thomas</author>
    <author>tc={3C6E658D-D437-6748-90EF-F2EDE9B582EA}</author>
  </authors>
  <commentList>
    <comment ref="C1" authorId="0" shapeId="0" xr:uid="{F1BA5966-D905-A348-9020-EC6034E99662}">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H1" authorId="0" shapeId="0" xr:uid="{D57C8A4B-D1DD-7A46-BA9F-308418D451D0}">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6" authorId="0" shapeId="0" xr:uid="{C4454254-57C3-6E4A-93A1-45D16622A89F}">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I6" authorId="1" shapeId="0" xr:uid="{2570C321-FD1E-0342-8231-37E33911166E}">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J6" authorId="2" shapeId="0" xr:uid="{5F8EDE6C-9F62-EF41-BFF5-B9772C5F12AD}">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K6" authorId="3" shapeId="0" xr:uid="{3C6E658D-D437-6748-90EF-F2EDE9B582EA}">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V6" authorId="2" shapeId="0" xr:uid="{9F9D6331-BA3D-3C41-AE3D-08B07CF57EB9}">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7" authorId="0" shapeId="0" xr:uid="{AC5F3C4C-453B-9A4D-8423-53CC6BA8BEB2}">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Q7" authorId="0" shapeId="0" xr:uid="{5B8EEBA7-5E04-C046-ADC1-40AFE420EF4D}">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8" authorId="0" shapeId="0" xr:uid="{BCF73C9C-378A-964A-8567-697F18F56A9E}">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sharedStrings.xml><?xml version="1.0" encoding="utf-8"?>
<sst xmlns="http://schemas.openxmlformats.org/spreadsheetml/2006/main" count="227" uniqueCount="92">
  <si>
    <t>slope</t>
  </si>
  <si>
    <t>err^2</t>
  </si>
  <si>
    <t>rmse</t>
  </si>
  <si>
    <t>e=(ax+b-y)^2</t>
  </si>
  <si>
    <t>de/da=x*2(ax+b-y)</t>
  </si>
  <si>
    <t>de/db=2(ax+b-y)</t>
  </si>
  <si>
    <t>de/db</t>
  </si>
  <si>
    <t>errb1</t>
  </si>
  <si>
    <t>erra1</t>
  </si>
  <si>
    <t>de/da</t>
  </si>
  <si>
    <t>est de/db</t>
  </si>
  <si>
    <t>est de/da</t>
  </si>
  <si>
    <t>new a</t>
  </si>
  <si>
    <t>new b</t>
  </si>
  <si>
    <t>learn</t>
  </si>
  <si>
    <t>x</t>
  </si>
  <si>
    <t>y</t>
  </si>
  <si>
    <t>y_pred</t>
  </si>
  <si>
    <t>pred</t>
  </si>
  <si>
    <t>intercept</t>
  </si>
  <si>
    <t>Paste error here:</t>
  </si>
  <si>
    <t>b</t>
  </si>
  <si>
    <t>a</t>
  </si>
  <si>
    <t>const</t>
  </si>
  <si>
    <t>beta</t>
  </si>
  <si>
    <t>loss</t>
  </si>
  <si>
    <t>ft-1</t>
  </si>
  <si>
    <t>ft-2</t>
  </si>
  <si>
    <t>r_t</t>
  </si>
  <si>
    <t>dt-1</t>
  </si>
  <si>
    <t>dt</t>
  </si>
  <si>
    <t>What is this excel notebook about?</t>
  </si>
  <si>
    <t>To keep things simple, instead of working with neural networks here, we will use a simple linear model (y=ax+b).  However, the optimization methods are the same for NNs.</t>
  </si>
  <si>
    <t>This notebook explores different flavors/variations of Stochastic Gradient Descent, the key optimization method used in Deep Learning.</t>
  </si>
  <si>
    <t>data:</t>
  </si>
  <si>
    <t>We create our data by arbitrarily choosing a and b (a=2, b=30), randomly generating x, and then calculating y = ax + b.  We are going to pretend we don't know the true values of a and b, and see if our optimization algorithms help us find them.</t>
  </si>
  <si>
    <t>basic SGD:</t>
  </si>
  <si>
    <t>y=a*x + b</t>
  </si>
  <si>
    <t>What makes it stochastic is that we're just evaluating the error on a subset of our data (in this case, a single data point. For NNs, this is called our "mini-batch") and then updating the weights.</t>
  </si>
  <si>
    <t>momentum:</t>
  </si>
  <si>
    <t>adagrad:</t>
  </si>
  <si>
    <t>rmsprop:</t>
  </si>
  <si>
    <t>Overview of the sheets in this notebook:</t>
  </si>
  <si>
    <t>adam:</t>
  </si>
  <si>
    <t>rmsprop + momentum</t>
  </si>
  <si>
    <t>eve:</t>
  </si>
  <si>
    <t>adagrad_ann:</t>
  </si>
  <si>
    <t>adagrad with learning rate annealling</t>
  </si>
  <si>
    <t xml:space="preserve">adam_ann: </t>
  </si>
  <si>
    <t>adam with learning rate annealling</t>
  </si>
  <si>
    <t>weights:</t>
  </si>
  <si>
    <t>The key idea of SGD:</t>
  </si>
  <si>
    <t>3. Repeat step 2 lots of times.  Eventually we end up with some decent weights.</t>
  </si>
  <si>
    <t>1. Randomly choose some weights to start.</t>
  </si>
  <si>
    <t>2. Use those weights to calculate a prediciton, calculate the error/loss, and then update those weights.</t>
  </si>
  <si>
    <t xml:space="preserve">Goal: We want to create a model so that we can predict y when we're given x. </t>
  </si>
  <si>
    <t>To build the model, we are given training data x, y and we want to find an optimal a, b to create a model of the form y = ax + b.</t>
  </si>
  <si>
    <t xml:space="preserve">How does this relate to NNs?  To make an analogy with CNNs: x would be our images, y would be the dog/cat labels, and a and b are the weights.  </t>
  </si>
  <si>
    <t>We are trying to find the optimal weights (a, b). We use the same optimization methods to find weights for our NNs.</t>
  </si>
  <si>
    <t xml:space="preserve">Some comments have been added to the other sheets in this notebook.  </t>
  </si>
  <si>
    <t>Comments are indicated by a small red triangle in the corner of a cell.  Hover your mouse over that cell to read the comment.</t>
  </si>
  <si>
    <t>Here we randomly generate some training data x and y that we will use on the other sheets.  In the real world, you would get your x and y data from another source. In our CNN, x is the image data and y is the category (dog or cat).</t>
  </si>
  <si>
    <t>We can get a sense of how good our answers are, since really we know what the "true" a and b are.</t>
  </si>
  <si>
    <t>This is the most basic, vanilla form of stochastic gradient descent.  If we were doing gradient descent (not stochastic!), we would evaluate our error on all our data, and then update the weights a, b.</t>
  </si>
  <si>
    <t>Accelerate SGD in the relevant direction and dampen side-to-side oscillations</t>
  </si>
  <si>
    <t>It does this by combining a decaying average of previous gradients with the current gradient</t>
  </si>
  <si>
    <t>Adapts the learning rate by dividing by the sqrt of the avg of the previous gradients squared</t>
  </si>
  <si>
    <t>Adapts the learning rate by dividing by exponentially decaying average of squared gradients</t>
  </si>
  <si>
    <t>Modifies learning rate based on recent volatility of loss</t>
  </si>
  <si>
    <t>On each sheet, click 'reset' to return the a and b guesses to 1.</t>
  </si>
  <si>
    <t>Click 'run' to copy the last row's updated a and b guesses to the top row, and recalculate, a few times. (Each is effectively one epoch)</t>
  </si>
  <si>
    <t>How does SGD train NN?</t>
  </si>
  <si>
    <t>slope: a</t>
  </si>
  <si>
    <t>intercept: b</t>
  </si>
  <si>
    <t>errd1</t>
  </si>
  <si>
    <t>est de/dd</t>
  </si>
  <si>
    <t>errc1</t>
  </si>
  <si>
    <t>est de/dc</t>
  </si>
  <si>
    <t>new c</t>
  </si>
  <si>
    <t>new d</t>
  </si>
  <si>
    <t>d</t>
  </si>
  <si>
    <t>c</t>
  </si>
  <si>
    <t>y = (a*x + b)*c + d</t>
  </si>
  <si>
    <t>y=c(a*x+b)+d</t>
  </si>
  <si>
    <t>const: b</t>
  </si>
  <si>
    <t>const2: d</t>
  </si>
  <si>
    <t>slope2: c</t>
  </si>
  <si>
    <t>e=((ax+b)*c + d - y)^2</t>
  </si>
  <si>
    <t>e=((ax + b + 0.01)*c + d - y)^2</t>
  </si>
  <si>
    <t>e=(((a + 0.01)*x + b)*c + d - y)^2</t>
  </si>
  <si>
    <t>e=(a*x+b)*c + d + 0.01 -y)^2</t>
  </si>
  <si>
    <t>e =( (a*x+b)*(c+0.01) + d - y)^2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</si>
</sst>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0" x14ac:knownFonts="1">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i/>
      <sz val="11"/>
      <color theme="1"/>
      <name val="Calibri"/>
      <family val="2"/>
      <scheme val="minor"/>
    </font>
    <font>
      <b/>
      <sz val="14"/>
      <color theme="1"/>
      <name val="Calibri"/>
      <family val="2"/>
      <scheme val="minor"/>
    </font>
    <font>
      <sz val="14"/>
      <color theme="1"/>
      <name val="Calibri"/>
      <family val="2"/>
      <scheme val="minor"/>
    </font>
    <font>
      <sz val="10"/>
      <color rgb="FF000000"/>
      <name val="Tahoma"/>
      <family val="2"/>
    </font>
    <font>
      <b/>
      <sz val="9"/>
      <color rgb="FF000000"/>
      <name val="Tahoma"/>
      <family val="2"/>
    </font>
    <font>
      <sz val="9"/>
      <color rgb="FF000000"/>
      <name val="Tahoma"/>
      <family val="2"/>
    </font>
  </fonts>
  <fills count="2">
    <fill>
      <patternFill patternType="none"/>
    </fill>
    <fill>
      <patternFill patternType="gray125"/>
    </fill>
  </fills>
  <borders count="9">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7">
    <xf numFmtId="0" fontId="0" fillId="0" borderId="0" xfId="0"/>
    <xf numFmtId="3" fontId="0" fillId="0" borderId="0" xfId="0" applyNumberFormat="1"/>
    <xf numFmtId="0" fontId="1" fillId="0" borderId="0" xfId="0" applyFont="1"/>
    <xf numFmtId="4" fontId="0" fillId="0" borderId="0" xfId="0" applyNumberFormat="1"/>
    <xf numFmtId="0" fontId="0" fillId="0" borderId="0" xfId="0" applyFont="1"/>
    <xf numFmtId="164" fontId="0" fillId="0" borderId="0" xfId="0" applyNumberFormat="1"/>
    <xf numFmtId="164" fontId="1" fillId="0" borderId="0" xfId="0" applyNumberFormat="1" applyFont="1"/>
    <xf numFmtId="2" fontId="0" fillId="0" borderId="0" xfId="0" applyNumberFormat="1"/>
    <xf numFmtId="2" fontId="1" fillId="0" borderId="0" xfId="0" applyNumberFormat="1" applyFont="1"/>
    <xf numFmtId="11" fontId="3" fillId="0" borderId="0" xfId="0" applyNumberFormat="1" applyFont="1"/>
    <xf numFmtId="9" fontId="0" fillId="0" borderId="0" xfId="0" applyNumberFormat="1"/>
    <xf numFmtId="0" fontId="4" fillId="0" borderId="0" xfId="0" applyFont="1"/>
    <xf numFmtId="164" fontId="4" fillId="0" borderId="0" xfId="0" applyNumberFormat="1" applyFont="1"/>
    <xf numFmtId="0" fontId="5" fillId="0" borderId="0" xfId="0" applyFont="1"/>
    <xf numFmtId="0" fontId="6" fillId="0" borderId="0" xfId="0" applyFont="1"/>
    <xf numFmtId="0" fontId="6" fillId="0" borderId="0" xfId="0" applyFont="1" applyAlignment="1">
      <alignment wrapText="1"/>
    </xf>
    <xf numFmtId="0" fontId="5" fillId="0" borderId="0" xfId="0" applyFont="1" applyAlignment="1"/>
    <xf numFmtId="0" fontId="6" fillId="0" borderId="0" xfId="0" applyFont="1" applyAlignment="1"/>
    <xf numFmtId="0" fontId="6" fillId="0" borderId="1" xfId="0" applyFont="1" applyBorder="1"/>
    <xf numFmtId="0" fontId="6" fillId="0" borderId="2" xfId="0" applyFont="1" applyBorder="1" applyAlignment="1">
      <alignment wrapText="1"/>
    </xf>
    <xf numFmtId="0" fontId="5" fillId="0" borderId="3" xfId="0" applyFont="1" applyBorder="1"/>
    <xf numFmtId="0" fontId="6" fillId="0" borderId="4" xfId="0" applyFont="1" applyBorder="1" applyAlignment="1">
      <alignment wrapText="1"/>
    </xf>
    <xf numFmtId="0" fontId="5" fillId="0" borderId="5" xfId="0" applyFont="1" applyBorder="1"/>
    <xf numFmtId="0" fontId="6" fillId="0" borderId="6" xfId="0" applyFont="1" applyBorder="1" applyAlignment="1">
      <alignment wrapText="1"/>
    </xf>
    <xf numFmtId="0" fontId="6" fillId="0" borderId="5" xfId="0" applyFont="1" applyBorder="1"/>
    <xf numFmtId="0" fontId="6" fillId="0" borderId="7" xfId="0" applyFont="1" applyBorder="1"/>
    <xf numFmtId="0" fontId="6" fillId="0" borderId="8" xfId="0" applyFont="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SGD'!$C$38:$C$62</c:f>
              <c:numCache>
                <c:formatCode>General</c:formatCode>
                <c:ptCount val="25"/>
                <c:pt idx="0">
                  <c:v>150.75521153771854</c:v>
                </c:pt>
                <c:pt idx="1">
                  <c:v>104.74921026693299</c:v>
                </c:pt>
                <c:pt idx="2">
                  <c:v>104.55969980561993</c:v>
                </c:pt>
                <c:pt idx="3">
                  <c:v>104.37053295106034</c:v>
                </c:pt>
                <c:pt idx="4">
                  <c:v>104.18170833255277</c:v>
                </c:pt>
                <c:pt idx="5">
                  <c:v>103.99322533093216</c:v>
                </c:pt>
                <c:pt idx="6">
                  <c:v>103.8050833281535</c:v>
                </c:pt>
                <c:pt idx="7">
                  <c:v>103.6172817072901</c:v>
                </c:pt>
                <c:pt idx="8">
                  <c:v>103.42981985253128</c:v>
                </c:pt>
                <c:pt idx="9">
                  <c:v>103.24269714918051</c:v>
                </c:pt>
                <c:pt idx="10">
                  <c:v>103.05591298365337</c:v>
                </c:pt>
                <c:pt idx="11">
                  <c:v>102.86946674347551</c:v>
                </c:pt>
                <c:pt idx="12">
                  <c:v>102.68335781728057</c:v>
                </c:pt>
                <c:pt idx="13">
                  <c:v>102.4975855948084</c:v>
                </c:pt>
                <c:pt idx="14">
                  <c:v>102.3121494669028</c:v>
                </c:pt>
              </c:numCache>
            </c:numRef>
          </c:val>
          <c:smooth val="0"/>
          <c:extLst>
            <c:ext xmlns:c16="http://schemas.microsoft.com/office/drawing/2014/chart" uri="{C3380CC4-5D6E-409C-BE32-E72D297353CC}">
              <c16:uniqueId val="{00000000-03E4-47F8-B210-D0B46E2B5952}"/>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 est'!$C$38:$C$62</c:f>
              <c:numCache>
                <c:formatCode>General</c:formatCode>
                <c:ptCount val="25"/>
                <c:pt idx="1">
                  <c:v>104.76057412808883</c:v>
                </c:pt>
                <c:pt idx="2">
                  <c:v>104.56680613252718</c:v>
                </c:pt>
                <c:pt idx="3">
                  <c:v>104.37338949563905</c:v>
                </c:pt>
                <c:pt idx="4">
                  <c:v>104.18032284321687</c:v>
                </c:pt>
                <c:pt idx="5">
                  <c:v>103.98760554219196</c:v>
                </c:pt>
                <c:pt idx="6">
                  <c:v>103.79523696064258</c:v>
                </c:pt>
                <c:pt idx="7">
                  <c:v>103.60321646778945</c:v>
                </c:pt>
                <c:pt idx="8">
                  <c:v>103.41154343399799</c:v>
                </c:pt>
                <c:pt idx="9">
                  <c:v>103.22021723076747</c:v>
                </c:pt>
                <c:pt idx="10">
                  <c:v>103.02923723073833</c:v>
                </c:pt>
                <c:pt idx="11">
                  <c:v>102.8386028076869</c:v>
                </c:pt>
                <c:pt idx="12">
                  <c:v>102.64831333651851</c:v>
                </c:pt>
                <c:pt idx="13">
                  <c:v>102.45836819327512</c:v>
                </c:pt>
                <c:pt idx="14">
                  <c:v>102.26876675512219</c:v>
                </c:pt>
              </c:numCache>
            </c:numRef>
          </c:val>
          <c:smooth val="0"/>
          <c:extLst>
            <c:ext xmlns:c16="http://schemas.microsoft.com/office/drawing/2014/chart" uri="{C3380CC4-5D6E-409C-BE32-E72D297353CC}">
              <c16:uniqueId val="{00000000-F915-8949-A0F2-15001BC1C86D}"/>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 2 neuron'!$C$41:$C$65</c:f>
              <c:numCache>
                <c:formatCode>General</c:formatCode>
                <c:ptCount val="25"/>
              </c:numCache>
            </c:numRef>
          </c:val>
          <c:smooth val="0"/>
          <c:extLst>
            <c:ext xmlns:c16="http://schemas.microsoft.com/office/drawing/2014/chart" uri="{C3380CC4-5D6E-409C-BE32-E72D297353CC}">
              <c16:uniqueId val="{00000000-2827-9347-8DF9-36754354C046}"/>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150811</xdr:colOff>
      <xdr:row>35</xdr:row>
      <xdr:rowOff>59795</xdr:rowOff>
    </xdr:from>
    <xdr:to>
      <xdr:col>9</xdr:col>
      <xdr:colOff>537103</xdr:colOff>
      <xdr:row>50</xdr:row>
      <xdr:rowOff>24870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977</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2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150811</xdr:colOff>
      <xdr:row>35</xdr:row>
      <xdr:rowOff>59795</xdr:rowOff>
    </xdr:from>
    <xdr:to>
      <xdr:col>9</xdr:col>
      <xdr:colOff>537103</xdr:colOff>
      <xdr:row>50</xdr:row>
      <xdr:rowOff>24870</xdr:rowOff>
    </xdr:to>
    <xdr:graphicFrame macro="">
      <xdr:nvGraphicFramePr>
        <xdr:cNvPr id="2" name="Chart 1">
          <a:extLst>
            <a:ext uri="{FF2B5EF4-FFF2-40B4-BE49-F238E27FC236}">
              <a16:creationId xmlns:a16="http://schemas.microsoft.com/office/drawing/2014/main" id="{C4355DB1-7C68-4A4D-A357-964CC2424C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977</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A567F29B-DD02-4141-B1D5-6D1DDAFA2AB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68610" name="Button 2" hidden="1">
              <a:extLst>
                <a:ext uri="{63B3BB69-23CF-44E3-9099-C40C66FF867C}">
                  <a14:compatExt spid="_x0000_s68610"/>
                </a:ext>
                <a:ext uri="{FF2B5EF4-FFF2-40B4-BE49-F238E27FC236}">
                  <a16:creationId xmlns:a16="http://schemas.microsoft.com/office/drawing/2014/main" id="{338BB26B-2D80-6A46-9563-7A70CD8CF2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twoCellAnchor>
    <xdr:from>
      <xdr:col>14</xdr:col>
      <xdr:colOff>341923</xdr:colOff>
      <xdr:row>3</xdr:row>
      <xdr:rowOff>0</xdr:rowOff>
    </xdr:from>
    <xdr:to>
      <xdr:col>17</xdr:col>
      <xdr:colOff>78155</xdr:colOff>
      <xdr:row>7</xdr:row>
      <xdr:rowOff>58615</xdr:rowOff>
    </xdr:to>
    <xdr:sp macro="" textlink="">
      <xdr:nvSpPr>
        <xdr:cNvPr id="17" name="TextBox 16">
          <a:extLst>
            <a:ext uri="{FF2B5EF4-FFF2-40B4-BE49-F238E27FC236}">
              <a16:creationId xmlns:a16="http://schemas.microsoft.com/office/drawing/2014/main" id="{63229050-31DA-9C46-95A1-900B72CA5F9A}"/>
            </a:ext>
          </a:extLst>
        </xdr:cNvPr>
        <xdr:cNvSpPr txBox="1"/>
      </xdr:nvSpPr>
      <xdr:spPr>
        <a:xfrm>
          <a:off x="10023231" y="625231"/>
          <a:ext cx="1758462" cy="840153"/>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Use estimated derivatives instead of more accurate analystical derivatives can offer similar results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150811</xdr:colOff>
      <xdr:row>38</xdr:row>
      <xdr:rowOff>59795</xdr:rowOff>
    </xdr:from>
    <xdr:to>
      <xdr:col>11</xdr:col>
      <xdr:colOff>537103</xdr:colOff>
      <xdr:row>53</xdr:row>
      <xdr:rowOff>24870</xdr:rowOff>
    </xdr:to>
    <xdr:graphicFrame macro="">
      <xdr:nvGraphicFramePr>
        <xdr:cNvPr id="2" name="Chart 1">
          <a:extLst>
            <a:ext uri="{FF2B5EF4-FFF2-40B4-BE49-F238E27FC236}">
              <a16:creationId xmlns:a16="http://schemas.microsoft.com/office/drawing/2014/main" id="{9E2F81BE-9221-3A45-9CF3-D511C44CFD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977</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A2691052-254F-8346-9F8D-2112336E5AA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67586" name="Button 2" hidden="1">
              <a:extLst>
                <a:ext uri="{63B3BB69-23CF-44E3-9099-C40C66FF867C}">
                  <a14:compatExt spid="_x0000_s67586"/>
                </a:ext>
                <a:ext uri="{FF2B5EF4-FFF2-40B4-BE49-F238E27FC236}">
                  <a16:creationId xmlns:a16="http://schemas.microsoft.com/office/drawing/2014/main" id="{D05FEF71-6AF3-1646-9EE0-DFCD6AE06C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5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5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700-000001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700-000002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8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900-000001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900-000002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Liao Daniel" id="{08B77041-7873-C942-AFC7-0B494135700B}" userId="80e3465a04bfd67f"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2-07-10T13:28:37.44" personId="{08B77041-7873-C942-AFC7-0B494135700B}" id="{824AD3A1-8D55-984B-B963-5046FABFA38C}">
    <text>We can see it as a single neuron (a neural network without networking)</text>
  </threadedComment>
  <threadedComment ref="B10" dT="2022-07-10T13:34:19.50" personId="{08B77041-7873-C942-AFC7-0B494135700B}" id="{60FD1385-4F44-B844-AE08-0524957D5FB2}">
    <text>The key questions is how to do the ‘update’</text>
  </threadedComment>
  <threadedComment ref="B10" dT="2022-07-10T13:37:34.55" personId="{08B77041-7873-C942-AFC7-0B494135700B}" id="{3373B293-AC29-5E47-995F-0F62563F42B2}" parentId="{60FD1385-4F44-B844-AE08-0524957D5FB2}">
    <text>In fact, this line describes both forward and backward operations (the essence of NN)</text>
  </threadedComment>
  <threadedComment ref="B19" dT="2022-07-10T13:39:21.05" personId="{08B77041-7873-C942-AFC7-0B494135700B}" id="{13358A2E-D0D0-0D40-85D1-B264AD808DB4}">
    <text>To test the universal concepts which can be applied in many cases including CV, we don’t have to use images as dataset. This way, we can run faster in excel</text>
  </threadedComment>
  <threadedComment ref="B30" dT="2022-07-10T13:46:33.14" personId="{08B77041-7873-C942-AFC7-0B494135700B}" id="{CFEDBBF2-1FE8-E04A-9325-61CE305D3234}">
    <text>I can add more optimization functions to test.</text>
  </threadedComment>
  <threadedComment ref="B30" dT="2022-07-10T13:49:47.42" personId="{08B77041-7873-C942-AFC7-0B494135700B}" id="{C5E55BCF-75DF-AC40-968D-2AEF784094C7}" parentId="{CFEDBBF2-1FE8-E04A-9325-61CE305D3234}">
    <text>How the different optimization functions are compared</text>
  </threadedComment>
</ThreadedComments>
</file>

<file path=xl/threadedComments/threadedComment2.xml><?xml version="1.0" encoding="utf-8"?>
<ThreadedComments xmlns="http://schemas.microsoft.com/office/spreadsheetml/2018/threadedcomments" xmlns:x="http://schemas.openxmlformats.org/spreadsheetml/2006/main">
  <threadedComment ref="G3" dT="2022-07-10T14:13:30.36" personId="{08B77041-7873-C942-AFC7-0B494135700B}" id="{5CFD5FA1-2E7E-9C48-BF1F-AE6A35E1232C}">
    <text>Increase intercept by 0.01, to see how error changes</text>
  </threadedComment>
  <threadedComment ref="I3" dT="2022-07-10T14:13:56.72" personId="{08B77041-7873-C942-AFC7-0B494135700B}" id="{F296575E-C434-DB42-9F6D-43A63184587A}">
    <text>Increase slop by 0.01 and see how error changes</text>
  </threadedComment>
</ThreadedComments>
</file>

<file path=xl/threadedComments/threadedComment3.xml><?xml version="1.0" encoding="utf-8"?>
<ThreadedComments xmlns="http://schemas.microsoft.com/office/spreadsheetml/2018/threadedcomments" xmlns:x="http://schemas.openxmlformats.org/spreadsheetml/2006/main">
  <threadedComment ref="G3" dT="2022-07-10T14:13:30.36" personId="{08B77041-7873-C942-AFC7-0B494135700B}" id="{7594B638-86BD-D54D-BE13-C32C9C33D79E}">
    <text>Increase intercept by 0.01, to see how error changes</text>
  </threadedComment>
  <threadedComment ref="I3" dT="2022-07-10T14:13:56.72" personId="{08B77041-7873-C942-AFC7-0B494135700B}" id="{68E31282-46DC-9F4B-8F73-16C9F58FDC19}">
    <text>Increase slop by 0.01 and see how error changes</text>
  </threadedComment>
</ThreadedComments>
</file>

<file path=xl/threadedComments/threadedComment4.xml><?xml version="1.0" encoding="utf-8"?>
<ThreadedComments xmlns="http://schemas.microsoft.com/office/spreadsheetml/2018/threadedcomments" xmlns:x="http://schemas.openxmlformats.org/spreadsheetml/2006/main">
  <threadedComment ref="I6" dT="2022-07-10T14:13:30.36" personId="{08B77041-7873-C942-AFC7-0B494135700B}" id="{2570C321-FD1E-0342-8231-37E33911166E}">
    <text>Increase intercept by 0.01, to see how error changes</text>
  </threadedComment>
  <threadedComment ref="K6" dT="2022-07-10T14:13:56.72" personId="{08B77041-7873-C942-AFC7-0B494135700B}" id="{3C6E658D-D437-6748-90EF-F2EDE9B582EA}">
    <text>Increase slop by 0.01 and see how error changes</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microsoft.com/office/2017/10/relationships/threadedComment" Target="../threadedComments/threadedComment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microsoft.com/office/2017/10/relationships/threadedComment" Target="../threadedComments/threadedComment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microsoft.com/office/2017/10/relationships/threadedComment" Target="../threadedComments/threadedComment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8.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9.vml"/><Relationship Id="rId1" Type="http://schemas.openxmlformats.org/officeDocument/2006/relationships/drawing" Target="../drawings/drawing7.xml"/><Relationship Id="rId4"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0.vml"/><Relationship Id="rId1" Type="http://schemas.openxmlformats.org/officeDocument/2006/relationships/drawing" Target="../drawings/drawing8.xml"/><Relationship Id="rId4" Type="http://schemas.openxmlformats.org/officeDocument/2006/relationships/ctrlProp" Target="../ctrlProps/ctrlProp16.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9.xml"/><Relationship Id="rId4" Type="http://schemas.openxmlformats.org/officeDocument/2006/relationships/ctrlProp" Target="../ctrlProps/ctrlProp18.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2.vml"/><Relationship Id="rId1" Type="http://schemas.openxmlformats.org/officeDocument/2006/relationships/drawing" Target="../drawings/drawing10.xml"/><Relationship Id="rId4"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36"/>
  <sheetViews>
    <sheetView topLeftCell="A24" zoomScaleNormal="100" workbookViewId="0">
      <selection activeCell="B33" sqref="B33"/>
    </sheetView>
  </sheetViews>
  <sheetFormatPr baseColWidth="10" defaultColWidth="9.1640625" defaultRowHeight="19" x14ac:dyDescent="0.25"/>
  <cols>
    <col min="1" max="1" width="15.6640625" style="14" customWidth="1"/>
    <col min="2" max="2" width="160.33203125" style="15" customWidth="1"/>
    <col min="3" max="16384" width="9.1640625" style="14"/>
  </cols>
  <sheetData>
    <row r="1" spans="1:2" x14ac:dyDescent="0.25">
      <c r="A1" s="13" t="s">
        <v>31</v>
      </c>
    </row>
    <row r="2" spans="1:2" x14ac:dyDescent="0.25">
      <c r="A2" s="14" t="s">
        <v>33</v>
      </c>
    </row>
    <row r="3" spans="1:2" x14ac:dyDescent="0.25">
      <c r="A3" s="14" t="s">
        <v>32</v>
      </c>
    </row>
    <row r="5" spans="1:2" x14ac:dyDescent="0.25">
      <c r="A5" s="16" t="s">
        <v>55</v>
      </c>
    </row>
    <row r="6" spans="1:2" x14ac:dyDescent="0.25">
      <c r="A6" s="17" t="s">
        <v>56</v>
      </c>
    </row>
    <row r="7" spans="1:2" x14ac:dyDescent="0.25">
      <c r="A7" s="13"/>
    </row>
    <row r="8" spans="1:2" x14ac:dyDescent="0.25">
      <c r="A8" s="13" t="s">
        <v>51</v>
      </c>
    </row>
    <row r="9" spans="1:2" x14ac:dyDescent="0.25">
      <c r="A9" s="14" t="s">
        <v>53</v>
      </c>
    </row>
    <row r="10" spans="1:2" x14ac:dyDescent="0.25">
      <c r="A10" s="14" t="s">
        <v>54</v>
      </c>
    </row>
    <row r="11" spans="1:2" x14ac:dyDescent="0.25">
      <c r="A11" s="14" t="s">
        <v>52</v>
      </c>
    </row>
    <row r="13" spans="1:2" x14ac:dyDescent="0.25">
      <c r="A13" s="13" t="s">
        <v>71</v>
      </c>
    </row>
    <row r="14" spans="1:2" x14ac:dyDescent="0.25">
      <c r="A14" s="14" t="s">
        <v>57</v>
      </c>
    </row>
    <row r="15" spans="1:2" x14ac:dyDescent="0.25">
      <c r="A15" s="14" t="s">
        <v>58</v>
      </c>
    </row>
    <row r="16" spans="1:2" x14ac:dyDescent="0.25">
      <c r="A16" s="13"/>
    </row>
    <row r="17" spans="1:2" ht="20" thickBot="1" x14ac:dyDescent="0.3">
      <c r="A17" s="13" t="s">
        <v>42</v>
      </c>
    </row>
    <row r="18" spans="1:2" ht="40" x14ac:dyDescent="0.25">
      <c r="A18" s="18" t="s">
        <v>34</v>
      </c>
      <c r="B18" s="19" t="s">
        <v>61</v>
      </c>
    </row>
    <row r="19" spans="1:2" ht="40" x14ac:dyDescent="0.25">
      <c r="A19" s="20"/>
      <c r="B19" s="21" t="s">
        <v>35</v>
      </c>
    </row>
    <row r="20" spans="1:2" ht="21" thickBot="1" x14ac:dyDescent="0.3">
      <c r="A20" s="22"/>
      <c r="B20" s="23" t="s">
        <v>62</v>
      </c>
    </row>
    <row r="21" spans="1:2" ht="40" x14ac:dyDescent="0.25">
      <c r="A21" s="18" t="s">
        <v>36</v>
      </c>
      <c r="B21" s="19" t="s">
        <v>63</v>
      </c>
    </row>
    <row r="22" spans="1:2" ht="41" thickBot="1" x14ac:dyDescent="0.3">
      <c r="A22" s="22"/>
      <c r="B22" s="23" t="s">
        <v>38</v>
      </c>
    </row>
    <row r="23" spans="1:2" ht="20" x14ac:dyDescent="0.25">
      <c r="A23" s="18" t="s">
        <v>39</v>
      </c>
      <c r="B23" s="19" t="s">
        <v>64</v>
      </c>
    </row>
    <row r="24" spans="1:2" ht="21" thickBot="1" x14ac:dyDescent="0.3">
      <c r="A24" s="24"/>
      <c r="B24" s="23" t="s">
        <v>65</v>
      </c>
    </row>
    <row r="25" spans="1:2" ht="21" thickBot="1" x14ac:dyDescent="0.3">
      <c r="A25" s="25" t="s">
        <v>40</v>
      </c>
      <c r="B25" s="26" t="s">
        <v>66</v>
      </c>
    </row>
    <row r="26" spans="1:2" ht="21" thickBot="1" x14ac:dyDescent="0.3">
      <c r="A26" s="25" t="s">
        <v>41</v>
      </c>
      <c r="B26" s="26" t="s">
        <v>67</v>
      </c>
    </row>
    <row r="27" spans="1:2" ht="21" thickBot="1" x14ac:dyDescent="0.3">
      <c r="A27" s="25" t="s">
        <v>43</v>
      </c>
      <c r="B27" s="26" t="s">
        <v>44</v>
      </c>
    </row>
    <row r="28" spans="1:2" ht="21" thickBot="1" x14ac:dyDescent="0.3">
      <c r="A28" s="25" t="s">
        <v>45</v>
      </c>
      <c r="B28" s="26" t="s">
        <v>68</v>
      </c>
    </row>
    <row r="29" spans="1:2" ht="21" thickBot="1" x14ac:dyDescent="0.3">
      <c r="A29" s="25" t="s">
        <v>46</v>
      </c>
      <c r="B29" s="26" t="s">
        <v>47</v>
      </c>
    </row>
    <row r="30" spans="1:2" ht="21" thickBot="1" x14ac:dyDescent="0.3">
      <c r="A30" s="25" t="s">
        <v>48</v>
      </c>
      <c r="B30" s="26" t="s">
        <v>49</v>
      </c>
    </row>
    <row r="31" spans="1:2" x14ac:dyDescent="0.25">
      <c r="A31" s="13"/>
    </row>
    <row r="32" spans="1:2" ht="20" x14ac:dyDescent="0.25">
      <c r="A32" s="13"/>
      <c r="B32" s="15" t="s">
        <v>69</v>
      </c>
    </row>
    <row r="33" spans="1:2" ht="20" x14ac:dyDescent="0.25">
      <c r="A33" s="13"/>
      <c r="B33" s="15" t="s">
        <v>70</v>
      </c>
    </row>
    <row r="35" spans="1:2" x14ac:dyDescent="0.25">
      <c r="A35" s="13" t="s">
        <v>59</v>
      </c>
    </row>
    <row r="36" spans="1:2" x14ac:dyDescent="0.25">
      <c r="A36" s="13" t="s">
        <v>60</v>
      </c>
    </row>
  </sheetData>
  <pageMargins left="0.7" right="0.7" top="0.75" bottom="0.75" header="0.3" footer="0.3"/>
  <pageSetup paperSize="0" orientation="portrait" horizontalDpi="0" verticalDpi="0" copies="0"/>
  <headerFooter>
    <oddHeader>&amp;C&amp;F&amp;F</oddHeader>
  </headerFooter>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dimension ref="A1:H34"/>
  <sheetViews>
    <sheetView zoomScale="130" zoomScaleNormal="130" workbookViewId="0">
      <selection activeCell="F3" sqref="F3"/>
    </sheetView>
  </sheetViews>
  <sheetFormatPr baseColWidth="10" defaultColWidth="8.83203125" defaultRowHeight="15" x14ac:dyDescent="0.2"/>
  <sheetData>
    <row r="1" spans="1:8" x14ac:dyDescent="0.2">
      <c r="A1" t="s">
        <v>50</v>
      </c>
    </row>
    <row r="2" spans="1:8" x14ac:dyDescent="0.2">
      <c r="A2" t="s">
        <v>21</v>
      </c>
      <c r="B2" t="s">
        <v>23</v>
      </c>
      <c r="C2">
        <v>30</v>
      </c>
      <c r="E2" t="s">
        <v>80</v>
      </c>
      <c r="F2">
        <v>10</v>
      </c>
    </row>
    <row r="3" spans="1:8" x14ac:dyDescent="0.2">
      <c r="A3" t="s">
        <v>22</v>
      </c>
      <c r="B3" t="s">
        <v>0</v>
      </c>
      <c r="C3">
        <v>2</v>
      </c>
      <c r="E3" t="s">
        <v>81</v>
      </c>
      <c r="F3">
        <v>3</v>
      </c>
    </row>
    <row r="5" spans="1:8" x14ac:dyDescent="0.2">
      <c r="B5" t="s">
        <v>15</v>
      </c>
      <c r="C5" t="s">
        <v>37</v>
      </c>
      <c r="E5" t="s">
        <v>82</v>
      </c>
    </row>
    <row r="6" spans="1:8" x14ac:dyDescent="0.2">
      <c r="B6">
        <v>15</v>
      </c>
      <c r="C6">
        <f>$C$2+B6*$C$3</f>
        <v>60</v>
      </c>
      <c r="E6">
        <f>($C$3*B6+$C$2)*$F$3+$F$2</f>
        <v>190</v>
      </c>
      <c r="G6">
        <v>15</v>
      </c>
      <c r="H6">
        <v>190</v>
      </c>
    </row>
    <row r="7" spans="1:8" x14ac:dyDescent="0.2">
      <c r="B7">
        <f>100</f>
        <v>100</v>
      </c>
      <c r="C7">
        <f t="shared" ref="C7:C34" si="0">$C$2+B7*$C$3</f>
        <v>230</v>
      </c>
      <c r="E7">
        <f t="shared" ref="E7:E34" si="1">($C$3*B7+$C$2)*$F$3+$F$2</f>
        <v>700</v>
      </c>
      <c r="G7">
        <v>100</v>
      </c>
      <c r="H7">
        <v>700</v>
      </c>
    </row>
    <row r="8" spans="1:8" x14ac:dyDescent="0.2">
      <c r="B8">
        <f t="shared" ref="B6:B34" ca="1" si="2">RANDBETWEEN(1,100)</f>
        <v>55</v>
      </c>
      <c r="C8">
        <f t="shared" ca="1" si="0"/>
        <v>140</v>
      </c>
      <c r="E8">
        <f t="shared" ca="1" si="1"/>
        <v>430</v>
      </c>
      <c r="G8">
        <v>92</v>
      </c>
      <c r="H8">
        <v>652</v>
      </c>
    </row>
    <row r="9" spans="1:8" x14ac:dyDescent="0.2">
      <c r="B9">
        <f t="shared" ca="1" si="2"/>
        <v>79</v>
      </c>
      <c r="C9">
        <f t="shared" ca="1" si="0"/>
        <v>188</v>
      </c>
      <c r="E9">
        <f t="shared" ca="1" si="1"/>
        <v>574</v>
      </c>
      <c r="G9">
        <v>49</v>
      </c>
      <c r="H9">
        <v>394</v>
      </c>
    </row>
    <row r="10" spans="1:8" x14ac:dyDescent="0.2">
      <c r="B10">
        <f t="shared" ca="1" si="2"/>
        <v>46</v>
      </c>
      <c r="C10">
        <f t="shared" ca="1" si="0"/>
        <v>122</v>
      </c>
      <c r="E10">
        <f t="shared" ca="1" si="1"/>
        <v>376</v>
      </c>
      <c r="G10">
        <v>99</v>
      </c>
      <c r="H10">
        <v>694</v>
      </c>
    </row>
    <row r="11" spans="1:8" x14ac:dyDescent="0.2">
      <c r="B11">
        <f t="shared" ca="1" si="2"/>
        <v>38</v>
      </c>
      <c r="C11">
        <f t="shared" ca="1" si="0"/>
        <v>106</v>
      </c>
      <c r="E11">
        <f t="shared" ca="1" si="1"/>
        <v>328</v>
      </c>
      <c r="G11">
        <v>71</v>
      </c>
      <c r="H11">
        <v>526</v>
      </c>
    </row>
    <row r="12" spans="1:8" x14ac:dyDescent="0.2">
      <c r="B12">
        <f t="shared" ca="1" si="2"/>
        <v>57</v>
      </c>
      <c r="C12">
        <f t="shared" ca="1" si="0"/>
        <v>144</v>
      </c>
      <c r="E12">
        <f t="shared" ca="1" si="1"/>
        <v>442</v>
      </c>
      <c r="G12">
        <v>21</v>
      </c>
      <c r="H12">
        <v>226</v>
      </c>
    </row>
    <row r="13" spans="1:8" x14ac:dyDescent="0.2">
      <c r="B13">
        <f t="shared" ca="1" si="2"/>
        <v>3</v>
      </c>
      <c r="C13">
        <f t="shared" ca="1" si="0"/>
        <v>36</v>
      </c>
      <c r="E13">
        <f t="shared" ca="1" si="1"/>
        <v>118</v>
      </c>
      <c r="G13">
        <v>6</v>
      </c>
      <c r="H13">
        <v>136</v>
      </c>
    </row>
    <row r="14" spans="1:8" x14ac:dyDescent="0.2">
      <c r="B14">
        <f t="shared" ca="1" si="2"/>
        <v>82</v>
      </c>
      <c r="C14">
        <f t="shared" ca="1" si="0"/>
        <v>194</v>
      </c>
      <c r="E14">
        <f t="shared" ca="1" si="1"/>
        <v>592</v>
      </c>
      <c r="G14">
        <v>87</v>
      </c>
      <c r="H14">
        <v>622</v>
      </c>
    </row>
    <row r="15" spans="1:8" x14ac:dyDescent="0.2">
      <c r="B15">
        <f t="shared" ca="1" si="2"/>
        <v>7</v>
      </c>
      <c r="C15">
        <f t="shared" ca="1" si="0"/>
        <v>44</v>
      </c>
      <c r="E15">
        <f t="shared" ca="1" si="1"/>
        <v>142</v>
      </c>
      <c r="G15">
        <v>100</v>
      </c>
      <c r="H15">
        <v>700</v>
      </c>
    </row>
    <row r="16" spans="1:8" x14ac:dyDescent="0.2">
      <c r="B16">
        <f t="shared" ca="1" si="2"/>
        <v>1</v>
      </c>
      <c r="C16">
        <f t="shared" ca="1" si="0"/>
        <v>32</v>
      </c>
      <c r="E16">
        <f t="shared" ca="1" si="1"/>
        <v>106</v>
      </c>
      <c r="G16">
        <v>15</v>
      </c>
      <c r="H16">
        <v>190</v>
      </c>
    </row>
    <row r="17" spans="2:8" x14ac:dyDescent="0.2">
      <c r="B17">
        <f t="shared" ca="1" si="2"/>
        <v>81</v>
      </c>
      <c r="C17">
        <f t="shared" ca="1" si="0"/>
        <v>192</v>
      </c>
      <c r="E17">
        <f t="shared" ca="1" si="1"/>
        <v>586</v>
      </c>
      <c r="G17">
        <v>7</v>
      </c>
      <c r="H17">
        <v>142</v>
      </c>
    </row>
    <row r="18" spans="2:8" x14ac:dyDescent="0.2">
      <c r="B18">
        <f t="shared" ca="1" si="2"/>
        <v>73</v>
      </c>
      <c r="C18">
        <f t="shared" ca="1" si="0"/>
        <v>176</v>
      </c>
      <c r="E18">
        <f t="shared" ca="1" si="1"/>
        <v>538</v>
      </c>
      <c r="G18">
        <v>16</v>
      </c>
      <c r="H18">
        <v>196</v>
      </c>
    </row>
    <row r="19" spans="2:8" x14ac:dyDescent="0.2">
      <c r="B19">
        <f t="shared" ca="1" si="2"/>
        <v>23</v>
      </c>
      <c r="C19">
        <f t="shared" ca="1" si="0"/>
        <v>76</v>
      </c>
      <c r="E19">
        <f t="shared" ca="1" si="1"/>
        <v>238</v>
      </c>
      <c r="G19">
        <v>75</v>
      </c>
      <c r="H19">
        <v>550</v>
      </c>
    </row>
    <row r="20" spans="2:8" x14ac:dyDescent="0.2">
      <c r="B20">
        <f t="shared" ca="1" si="2"/>
        <v>51</v>
      </c>
      <c r="C20">
        <f t="shared" ca="1" si="0"/>
        <v>132</v>
      </c>
      <c r="E20">
        <f t="shared" ca="1" si="1"/>
        <v>406</v>
      </c>
      <c r="G20">
        <v>36</v>
      </c>
      <c r="H20">
        <v>316</v>
      </c>
    </row>
    <row r="21" spans="2:8" x14ac:dyDescent="0.2">
      <c r="B21">
        <f t="shared" ca="1" si="2"/>
        <v>89</v>
      </c>
      <c r="C21">
        <f t="shared" ca="1" si="0"/>
        <v>208</v>
      </c>
      <c r="E21">
        <f t="shared" ca="1" si="1"/>
        <v>634</v>
      </c>
      <c r="G21">
        <v>67</v>
      </c>
      <c r="H21">
        <v>502</v>
      </c>
    </row>
    <row r="22" spans="2:8" x14ac:dyDescent="0.2">
      <c r="B22">
        <f t="shared" ca="1" si="2"/>
        <v>5</v>
      </c>
      <c r="C22">
        <f t="shared" ca="1" si="0"/>
        <v>40</v>
      </c>
      <c r="E22">
        <f t="shared" ca="1" si="1"/>
        <v>130</v>
      </c>
      <c r="G22">
        <v>70</v>
      </c>
      <c r="H22">
        <v>520</v>
      </c>
    </row>
    <row r="23" spans="2:8" x14ac:dyDescent="0.2">
      <c r="B23">
        <f t="shared" ca="1" si="2"/>
        <v>56</v>
      </c>
      <c r="C23">
        <f t="shared" ca="1" si="0"/>
        <v>142</v>
      </c>
      <c r="E23">
        <f t="shared" ca="1" si="1"/>
        <v>436</v>
      </c>
      <c r="G23">
        <v>30</v>
      </c>
      <c r="H23">
        <v>280</v>
      </c>
    </row>
    <row r="24" spans="2:8" x14ac:dyDescent="0.2">
      <c r="B24">
        <f t="shared" ca="1" si="2"/>
        <v>98</v>
      </c>
      <c r="C24">
        <f t="shared" ca="1" si="0"/>
        <v>226</v>
      </c>
      <c r="E24">
        <f t="shared" ca="1" si="1"/>
        <v>688</v>
      </c>
      <c r="G24">
        <v>41</v>
      </c>
      <c r="H24">
        <v>346</v>
      </c>
    </row>
    <row r="25" spans="2:8" x14ac:dyDescent="0.2">
      <c r="B25">
        <f t="shared" ca="1" si="2"/>
        <v>41</v>
      </c>
      <c r="C25">
        <f t="shared" ca="1" si="0"/>
        <v>112</v>
      </c>
      <c r="E25">
        <f t="shared" ca="1" si="1"/>
        <v>346</v>
      </c>
      <c r="G25">
        <v>97</v>
      </c>
      <c r="H25">
        <v>682</v>
      </c>
    </row>
    <row r="26" spans="2:8" x14ac:dyDescent="0.2">
      <c r="B26">
        <f t="shared" ca="1" si="2"/>
        <v>14</v>
      </c>
      <c r="C26">
        <f t="shared" ca="1" si="0"/>
        <v>58</v>
      </c>
      <c r="E26">
        <f t="shared" ca="1" si="1"/>
        <v>184</v>
      </c>
      <c r="G26">
        <v>36</v>
      </c>
      <c r="H26">
        <v>316</v>
      </c>
    </row>
    <row r="27" spans="2:8" x14ac:dyDescent="0.2">
      <c r="B27">
        <f t="shared" ca="1" si="2"/>
        <v>59</v>
      </c>
      <c r="C27">
        <f t="shared" ca="1" si="0"/>
        <v>148</v>
      </c>
      <c r="E27">
        <f t="shared" ca="1" si="1"/>
        <v>454</v>
      </c>
      <c r="G27">
        <v>39</v>
      </c>
      <c r="H27">
        <v>334</v>
      </c>
    </row>
    <row r="28" spans="2:8" x14ac:dyDescent="0.2">
      <c r="B28">
        <f t="shared" ca="1" si="2"/>
        <v>79</v>
      </c>
      <c r="C28">
        <f t="shared" ca="1" si="0"/>
        <v>188</v>
      </c>
      <c r="E28">
        <f t="shared" ca="1" si="1"/>
        <v>574</v>
      </c>
      <c r="G28">
        <v>19</v>
      </c>
      <c r="H28">
        <v>214</v>
      </c>
    </row>
    <row r="29" spans="2:8" x14ac:dyDescent="0.2">
      <c r="B29">
        <f t="shared" ca="1" si="2"/>
        <v>25</v>
      </c>
      <c r="C29">
        <f t="shared" ca="1" si="0"/>
        <v>80</v>
      </c>
      <c r="E29">
        <f t="shared" ca="1" si="1"/>
        <v>250</v>
      </c>
      <c r="G29">
        <v>36</v>
      </c>
      <c r="H29">
        <v>316</v>
      </c>
    </row>
    <row r="30" spans="2:8" x14ac:dyDescent="0.2">
      <c r="B30">
        <f t="shared" ca="1" si="2"/>
        <v>92</v>
      </c>
      <c r="C30">
        <f t="shared" ca="1" si="0"/>
        <v>214</v>
      </c>
      <c r="E30">
        <f t="shared" ca="1" si="1"/>
        <v>652</v>
      </c>
      <c r="G30">
        <v>27</v>
      </c>
      <c r="H30">
        <v>262</v>
      </c>
    </row>
    <row r="31" spans="2:8" x14ac:dyDescent="0.2">
      <c r="B31">
        <f t="shared" ca="1" si="2"/>
        <v>88</v>
      </c>
      <c r="C31">
        <f t="shared" ca="1" si="0"/>
        <v>206</v>
      </c>
      <c r="E31">
        <f t="shared" ca="1" si="1"/>
        <v>628</v>
      </c>
      <c r="G31">
        <v>90</v>
      </c>
      <c r="H31">
        <v>640</v>
      </c>
    </row>
    <row r="32" spans="2:8" x14ac:dyDescent="0.2">
      <c r="B32">
        <f t="shared" ca="1" si="2"/>
        <v>11</v>
      </c>
      <c r="C32">
        <f t="shared" ca="1" si="0"/>
        <v>52</v>
      </c>
      <c r="E32">
        <f t="shared" ca="1" si="1"/>
        <v>166</v>
      </c>
      <c r="G32">
        <v>34</v>
      </c>
      <c r="H32">
        <v>304</v>
      </c>
    </row>
    <row r="33" spans="2:8" x14ac:dyDescent="0.2">
      <c r="B33">
        <f t="shared" ca="1" si="2"/>
        <v>85</v>
      </c>
      <c r="C33">
        <f t="shared" ca="1" si="0"/>
        <v>200</v>
      </c>
      <c r="E33">
        <f t="shared" ca="1" si="1"/>
        <v>610</v>
      </c>
      <c r="G33">
        <v>55</v>
      </c>
      <c r="H33">
        <v>430</v>
      </c>
    </row>
    <row r="34" spans="2:8" x14ac:dyDescent="0.2">
      <c r="B34">
        <f t="shared" ca="1" si="2"/>
        <v>43</v>
      </c>
      <c r="C34">
        <f t="shared" ca="1" si="0"/>
        <v>116</v>
      </c>
      <c r="E34">
        <f t="shared" ca="1" si="1"/>
        <v>358</v>
      </c>
      <c r="G34">
        <v>18</v>
      </c>
      <c r="H34">
        <v>208</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asic"/>
  <dimension ref="A1:N52"/>
  <sheetViews>
    <sheetView zoomScale="130" zoomScaleNormal="130" workbookViewId="0">
      <pane ySplit="3" topLeftCell="A4" activePane="bottomLeft" state="frozen"/>
      <selection pane="bottomLeft" activeCell="Q8" sqref="Q8"/>
    </sheetView>
  </sheetViews>
  <sheetFormatPr baseColWidth="10" defaultColWidth="8.83203125" defaultRowHeight="15" x14ac:dyDescent="0.2"/>
  <cols>
    <col min="1" max="1" width="7" customWidth="1"/>
    <col min="2" max="2" width="7.83203125" bestFit="1" customWidth="1"/>
    <col min="3" max="3" width="9.6640625" customWidth="1"/>
    <col min="4" max="4" width="7" customWidth="1"/>
    <col min="5" max="5" width="8.1640625" customWidth="1"/>
    <col min="6" max="6" width="6.83203125" bestFit="1" customWidth="1"/>
    <col min="7" max="7" width="8.6640625" bestFit="1" customWidth="1"/>
    <col min="8" max="8" width="11.1640625" bestFit="1" customWidth="1"/>
    <col min="9" max="9" width="10.83203125" customWidth="1"/>
    <col min="10" max="10" width="9.1640625" bestFit="1" customWidth="1"/>
    <col min="11" max="11" width="6.83203125" bestFit="1" customWidth="1"/>
    <col min="12" max="12" width="9.1640625" bestFit="1" customWidth="1"/>
    <col min="13" max="13" width="11.6640625" customWidth="1"/>
    <col min="14" max="14" width="12.83203125" customWidth="1"/>
  </cols>
  <sheetData>
    <row r="1" spans="1:14" ht="17.5" customHeight="1" x14ac:dyDescent="0.2">
      <c r="B1" t="s">
        <v>19</v>
      </c>
      <c r="C1">
        <v>1.7909293187938788</v>
      </c>
      <c r="E1" t="s">
        <v>14</v>
      </c>
      <c r="F1">
        <v>1E-4</v>
      </c>
      <c r="L1" t="s">
        <v>4</v>
      </c>
    </row>
    <row r="2" spans="1:14" ht="17.5" customHeight="1" x14ac:dyDescent="0.2">
      <c r="B2" t="s">
        <v>0</v>
      </c>
      <c r="C2">
        <v>2.5597677840758966</v>
      </c>
      <c r="H2" t="s">
        <v>3</v>
      </c>
      <c r="K2" t="s">
        <v>5</v>
      </c>
    </row>
    <row r="3" spans="1:14" s="2" customFormat="1" x14ac:dyDescent="0.2">
      <c r="A3" s="2" t="s">
        <v>15</v>
      </c>
      <c r="B3" s="2" t="s">
        <v>16</v>
      </c>
      <c r="C3" s="2" t="s">
        <v>73</v>
      </c>
      <c r="D3" s="2" t="s">
        <v>72</v>
      </c>
      <c r="E3" s="2" t="s">
        <v>17</v>
      </c>
      <c r="F3" s="2" t="s">
        <v>1</v>
      </c>
      <c r="G3" s="2" t="s">
        <v>7</v>
      </c>
      <c r="H3" s="2" t="s">
        <v>10</v>
      </c>
      <c r="I3" s="2" t="s">
        <v>8</v>
      </c>
      <c r="J3" s="2" t="s">
        <v>11</v>
      </c>
      <c r="K3" s="2" t="s">
        <v>6</v>
      </c>
      <c r="L3" s="2" t="s">
        <v>9</v>
      </c>
      <c r="M3" s="2" t="s">
        <v>12</v>
      </c>
      <c r="N3" s="2" t="s">
        <v>13</v>
      </c>
    </row>
    <row r="4" spans="1:14" x14ac:dyDescent="0.2">
      <c r="A4">
        <v>14</v>
      </c>
      <c r="B4">
        <v>58</v>
      </c>
      <c r="C4">
        <f>C1</f>
        <v>1.7909293187938788</v>
      </c>
      <c r="D4">
        <f>C2</f>
        <v>2.5597677840758966</v>
      </c>
      <c r="E4">
        <f>C4+D4*A4</f>
        <v>37.627678295856434</v>
      </c>
      <c r="F4" s="1">
        <f>(B4-E4)^2</f>
        <v>415.031491617119</v>
      </c>
      <c r="G4" s="3">
        <f>(((C4+0.01)+A4*D4)-B4)^2</f>
        <v>414.62414518303621</v>
      </c>
      <c r="H4" s="3">
        <f>(G4-F4)/0.01</f>
        <v>-40.73464340827968</v>
      </c>
      <c r="I4" s="3">
        <f>(((D4+0.01)*A4+C4)-B4)^2</f>
        <v>409.34684153995909</v>
      </c>
      <c r="J4" s="3">
        <f>(I4-F4)/0.01</f>
        <v>-568.46500771599153</v>
      </c>
      <c r="K4" s="3">
        <f>2*(E4-B4)</f>
        <v>-40.744643408287132</v>
      </c>
      <c r="L4" s="3">
        <f>K4*A4</f>
        <v>-570.42500771601988</v>
      </c>
      <c r="M4" s="3">
        <f>D4-L4*$F$1</f>
        <v>2.6168102848474986</v>
      </c>
      <c r="N4" s="3">
        <f>C4-K4*$F$1</f>
        <v>1.7950037831347077</v>
      </c>
    </row>
    <row r="5" spans="1:14" x14ac:dyDescent="0.2">
      <c r="A5">
        <v>86</v>
      </c>
      <c r="B5">
        <v>202</v>
      </c>
      <c r="C5">
        <f>N4</f>
        <v>1.7950037831347077</v>
      </c>
      <c r="D5">
        <f>M4</f>
        <v>2.6168102848474986</v>
      </c>
      <c r="E5">
        <f>C5+D5*A5</f>
        <v>226.84068828001961</v>
      </c>
      <c r="F5" s="1">
        <f>(B5-E5)^2</f>
        <v>617.05979422510336</v>
      </c>
      <c r="G5" s="3">
        <f>(((C5+0.01)+A5*D5)-B5)^2</f>
        <v>617.55670799070333</v>
      </c>
      <c r="H5" s="3">
        <f>(G5-F5)/0.01</f>
        <v>49.691376559997025</v>
      </c>
      <c r="I5" s="3">
        <f>(((D5+0.01)*A5+C5)-B5)^2</f>
        <v>660.5253780667349</v>
      </c>
      <c r="J5" s="3">
        <f>(I5-F5)/0.01</f>
        <v>4346.5583841631542</v>
      </c>
      <c r="K5" s="3">
        <f t="shared" ref="K5:K32" si="0">2*(E5-B5)</f>
        <v>49.681376560039212</v>
      </c>
      <c r="L5" s="3">
        <f>K5*A5</f>
        <v>4272.5983841633724</v>
      </c>
      <c r="M5" s="3">
        <f t="shared" ref="M5:M32" si="1">D5-L5*$F$1</f>
        <v>2.1895504464311615</v>
      </c>
      <c r="N5" s="3">
        <f t="shared" ref="N5:N32" si="2">C5-K5*$F$1</f>
        <v>1.7900356454787036</v>
      </c>
    </row>
    <row r="6" spans="1:14" x14ac:dyDescent="0.2">
      <c r="A6">
        <v>28</v>
      </c>
      <c r="B6">
        <v>86</v>
      </c>
      <c r="C6">
        <f>N5</f>
        <v>1.7900356454787036</v>
      </c>
      <c r="D6">
        <f>M5</f>
        <v>2.1895504464311615</v>
      </c>
      <c r="E6">
        <f>C6+D6*A6</f>
        <v>63.097448145551226</v>
      </c>
      <c r="F6" s="1">
        <f>(B6-E6)^2</f>
        <v>524.52688144571493</v>
      </c>
      <c r="G6" s="3">
        <f>(((C6+0.01)+A6*D6)-B6)^2</f>
        <v>524.0689304086261</v>
      </c>
      <c r="H6" s="3">
        <f>(G6-F6)/0.01</f>
        <v>-45.795103708883289</v>
      </c>
      <c r="I6" s="3">
        <f>(((D6+0.01)*A6+C6)-B6)^2</f>
        <v>511.77985240722393</v>
      </c>
      <c r="J6" s="3">
        <f>(I6-F6)/0.01</f>
        <v>-1274.7029038491007</v>
      </c>
      <c r="K6" s="3">
        <f t="shared" ref="K6:K7" si="3">2*(E6-B6)</f>
        <v>-45.805103708897548</v>
      </c>
      <c r="L6" s="3">
        <f>K6*A6</f>
        <v>-1282.5429038491313</v>
      </c>
      <c r="M6" s="3">
        <f t="shared" ref="M6:M7" si="4">D6-L6*$F$1</f>
        <v>2.3178047368160746</v>
      </c>
      <c r="N6" s="3">
        <f t="shared" ref="N6:N7" si="5">C6-K6*$F$1</f>
        <v>1.7946161558495934</v>
      </c>
    </row>
    <row r="7" spans="1:14" x14ac:dyDescent="0.2">
      <c r="A7">
        <v>51</v>
      </c>
      <c r="B7">
        <v>132</v>
      </c>
      <c r="C7">
        <f t="shared" ref="C7:C32" si="6">N6</f>
        <v>1.7946161558495934</v>
      </c>
      <c r="D7">
        <f t="shared" ref="D7:D32" si="7">M6</f>
        <v>2.3178047368160746</v>
      </c>
      <c r="E7">
        <f t="shared" ref="E7:E32" si="8">C7+D7*A7</f>
        <v>120.00265773346941</v>
      </c>
      <c r="F7" s="1">
        <f t="shared" ref="F7:F32" si="9">(B7-E7)^2</f>
        <v>143.93622146028147</v>
      </c>
      <c r="G7" s="3">
        <f t="shared" ref="G7:G32" si="10">(((C7+0.01)+A7*D7)-B7)^2</f>
        <v>143.69637461495108</v>
      </c>
      <c r="H7" s="3">
        <f t="shared" ref="H7:H32" si="11">(G7-F7)/0.01</f>
        <v>-23.984684533039058</v>
      </c>
      <c r="I7" s="3">
        <f t="shared" ref="I7:I32" si="12">(((D7+0.01)*A7+C7)-B7)^2</f>
        <v>131.95903234842081</v>
      </c>
      <c r="J7" s="3">
        <f t="shared" ref="J7:J32" si="13">(I7-F7)/0.01</f>
        <v>-1197.7189111860666</v>
      </c>
      <c r="K7" s="3">
        <f t="shared" si="3"/>
        <v>-23.994684533061189</v>
      </c>
      <c r="L7" s="3">
        <f t="shared" ref="L7:L32" si="14">K7*A7</f>
        <v>-1223.7289111861207</v>
      </c>
      <c r="M7" s="3">
        <f t="shared" si="4"/>
        <v>2.4401776279346867</v>
      </c>
      <c r="N7" s="3">
        <f t="shared" si="5"/>
        <v>1.7970156243028996</v>
      </c>
    </row>
    <row r="8" spans="1:14" x14ac:dyDescent="0.2">
      <c r="A8">
        <v>28</v>
      </c>
      <c r="B8">
        <v>86</v>
      </c>
      <c r="C8">
        <f t="shared" si="6"/>
        <v>1.7970156243028996</v>
      </c>
      <c r="D8">
        <f t="shared" si="7"/>
        <v>2.4401776279346867</v>
      </c>
      <c r="E8">
        <f t="shared" si="8"/>
        <v>70.121989206474126</v>
      </c>
      <c r="F8" s="1">
        <f t="shared" si="9"/>
        <v>252.11122675932415</v>
      </c>
      <c r="G8" s="3">
        <f t="shared" si="10"/>
        <v>251.79376654345347</v>
      </c>
      <c r="H8" s="3">
        <f t="shared" si="11"/>
        <v>-31.746021587068185</v>
      </c>
      <c r="I8" s="3">
        <f t="shared" si="12"/>
        <v>243.29794071494962</v>
      </c>
      <c r="J8" s="3">
        <f t="shared" si="13"/>
        <v>-881.32860443745358</v>
      </c>
      <c r="K8" s="3">
        <f t="shared" ref="K8:K32" si="15">2*(E8-B8)</f>
        <v>-31.756021587051748</v>
      </c>
      <c r="L8" s="3">
        <f t="shared" si="14"/>
        <v>-889.16860443744895</v>
      </c>
      <c r="M8" s="3">
        <f t="shared" ref="M8:M32" si="16">D8-L8*$F$1</f>
        <v>2.5290944883784316</v>
      </c>
      <c r="N8" s="3">
        <f t="shared" ref="N8:N32" si="17">C8-K8*$F$1</f>
        <v>1.8001912264616049</v>
      </c>
    </row>
    <row r="9" spans="1:14" x14ac:dyDescent="0.2">
      <c r="A9">
        <v>29</v>
      </c>
      <c r="B9">
        <v>88</v>
      </c>
      <c r="C9">
        <f t="shared" si="6"/>
        <v>1.8001912264616049</v>
      </c>
      <c r="D9">
        <f t="shared" si="7"/>
        <v>2.5290944883784316</v>
      </c>
      <c r="E9">
        <f t="shared" si="8"/>
        <v>75.143931389436119</v>
      </c>
      <c r="F9" s="1">
        <f t="shared" si="9"/>
        <v>165.27850011952592</v>
      </c>
      <c r="G9" s="3">
        <f t="shared" si="10"/>
        <v>165.02147874731452</v>
      </c>
      <c r="H9" s="3">
        <f t="shared" si="11"/>
        <v>-25.702137221139765</v>
      </c>
      <c r="I9" s="3">
        <f t="shared" si="12"/>
        <v>157.90608032539907</v>
      </c>
      <c r="J9" s="3">
        <f t="shared" si="13"/>
        <v>-737.24197941268415</v>
      </c>
      <c r="K9" s="3">
        <f t="shared" si="15"/>
        <v>-25.712137221127762</v>
      </c>
      <c r="L9" s="3">
        <f t="shared" si="14"/>
        <v>-745.65197941270503</v>
      </c>
      <c r="M9" s="3">
        <f t="shared" si="16"/>
        <v>2.6036596863197023</v>
      </c>
      <c r="N9" s="3">
        <f t="shared" si="17"/>
        <v>1.8027624401837177</v>
      </c>
    </row>
    <row r="10" spans="1:14" x14ac:dyDescent="0.2">
      <c r="A10">
        <v>72</v>
      </c>
      <c r="B10">
        <v>174</v>
      </c>
      <c r="C10">
        <f t="shared" si="6"/>
        <v>1.8027624401837177</v>
      </c>
      <c r="D10">
        <f t="shared" si="7"/>
        <v>2.6036596863197023</v>
      </c>
      <c r="E10">
        <f t="shared" si="8"/>
        <v>189.26625985520229</v>
      </c>
      <c r="F10" s="1">
        <f t="shared" si="9"/>
        <v>233.05868996656113</v>
      </c>
      <c r="G10" s="3">
        <f t="shared" si="10"/>
        <v>233.36411516366491</v>
      </c>
      <c r="H10" s="3">
        <f t="shared" si="11"/>
        <v>30.542519710377292</v>
      </c>
      <c r="I10" s="3">
        <f t="shared" si="12"/>
        <v>255.5605041580524</v>
      </c>
      <c r="J10" s="3">
        <f t="shared" si="13"/>
        <v>2250.1814191491262</v>
      </c>
      <c r="K10" s="3">
        <f t="shared" si="15"/>
        <v>30.532519710404586</v>
      </c>
      <c r="L10" s="3">
        <f t="shared" si="14"/>
        <v>2198.3414191491302</v>
      </c>
      <c r="M10" s="3">
        <f t="shared" si="16"/>
        <v>2.3838255444047896</v>
      </c>
      <c r="N10" s="3">
        <f t="shared" si="17"/>
        <v>1.7997091882126772</v>
      </c>
    </row>
    <row r="11" spans="1:14" x14ac:dyDescent="0.2">
      <c r="A11">
        <v>62</v>
      </c>
      <c r="B11">
        <v>154</v>
      </c>
      <c r="C11">
        <f t="shared" si="6"/>
        <v>1.7997091882126772</v>
      </c>
      <c r="D11">
        <f t="shared" si="7"/>
        <v>2.3838255444047896</v>
      </c>
      <c r="E11">
        <f t="shared" si="8"/>
        <v>149.59689294130965</v>
      </c>
      <c r="F11" s="1">
        <f t="shared" si="9"/>
        <v>19.387351770288806</v>
      </c>
      <c r="G11" s="3">
        <f t="shared" si="10"/>
        <v>19.29938962911508</v>
      </c>
      <c r="H11" s="3">
        <f t="shared" si="11"/>
        <v>-8.7962141173726138</v>
      </c>
      <c r="I11" s="3">
        <f t="shared" si="12"/>
        <v>14.31189901751295</v>
      </c>
      <c r="J11" s="3">
        <f t="shared" si="13"/>
        <v>-507.54527527758563</v>
      </c>
      <c r="K11" s="3">
        <f t="shared" si="15"/>
        <v>-8.8062141173807049</v>
      </c>
      <c r="L11" s="3">
        <f t="shared" si="14"/>
        <v>-545.98527527760371</v>
      </c>
      <c r="M11" s="3">
        <f t="shared" si="16"/>
        <v>2.4384240719325501</v>
      </c>
      <c r="N11" s="3">
        <f t="shared" si="17"/>
        <v>1.8005898096244153</v>
      </c>
    </row>
    <row r="12" spans="1:14" x14ac:dyDescent="0.2">
      <c r="A12">
        <v>84</v>
      </c>
      <c r="B12">
        <v>198</v>
      </c>
      <c r="C12">
        <f t="shared" si="6"/>
        <v>1.8005898096244153</v>
      </c>
      <c r="D12">
        <f t="shared" si="7"/>
        <v>2.4384240719325501</v>
      </c>
      <c r="E12">
        <f t="shared" si="8"/>
        <v>206.62821185195864</v>
      </c>
      <c r="F12" s="1">
        <f t="shared" si="9"/>
        <v>74.446039762279526</v>
      </c>
      <c r="G12" s="3">
        <f t="shared" si="10"/>
        <v>74.618703999318541</v>
      </c>
      <c r="H12" s="3">
        <f t="shared" si="11"/>
        <v>17.266423703901523</v>
      </c>
      <c r="I12" s="3">
        <f t="shared" si="12"/>
        <v>89.647035673569562</v>
      </c>
      <c r="J12" s="3">
        <f t="shared" si="13"/>
        <v>1520.0995911290036</v>
      </c>
      <c r="K12" s="3">
        <f t="shared" si="15"/>
        <v>17.256423703917278</v>
      </c>
      <c r="L12" s="3">
        <f t="shared" si="14"/>
        <v>1449.5395911290514</v>
      </c>
      <c r="M12" s="3">
        <f t="shared" si="16"/>
        <v>2.2934701128196449</v>
      </c>
      <c r="N12" s="3">
        <f t="shared" si="17"/>
        <v>1.7988641672540235</v>
      </c>
    </row>
    <row r="13" spans="1:14" x14ac:dyDescent="0.2">
      <c r="A13">
        <v>15</v>
      </c>
      <c r="B13">
        <v>60</v>
      </c>
      <c r="C13">
        <f t="shared" si="6"/>
        <v>1.7988641672540235</v>
      </c>
      <c r="D13">
        <f t="shared" si="7"/>
        <v>2.2934701128196449</v>
      </c>
      <c r="E13">
        <f t="shared" si="8"/>
        <v>36.200915859548694</v>
      </c>
      <c r="F13" s="1">
        <f t="shared" si="9"/>
        <v>566.39640592428088</v>
      </c>
      <c r="G13" s="3">
        <f t="shared" si="10"/>
        <v>565.92052424147198</v>
      </c>
      <c r="H13" s="3">
        <f t="shared" si="11"/>
        <v>-47.588168280890386</v>
      </c>
      <c r="I13" s="3">
        <f t="shared" si="12"/>
        <v>559.27918068214558</v>
      </c>
      <c r="J13" s="3">
        <f t="shared" si="13"/>
        <v>-711.72252421353051</v>
      </c>
      <c r="K13" s="3">
        <f t="shared" si="15"/>
        <v>-47.598168280902613</v>
      </c>
      <c r="L13" s="3">
        <f t="shared" si="14"/>
        <v>-713.97252421353915</v>
      </c>
      <c r="M13" s="3">
        <f t="shared" si="16"/>
        <v>2.3648673652409986</v>
      </c>
      <c r="N13" s="3">
        <f t="shared" si="17"/>
        <v>1.8036239840821138</v>
      </c>
    </row>
    <row r="14" spans="1:14" x14ac:dyDescent="0.2">
      <c r="A14">
        <v>42</v>
      </c>
      <c r="B14">
        <v>114</v>
      </c>
      <c r="C14">
        <f t="shared" si="6"/>
        <v>1.8036239840821138</v>
      </c>
      <c r="D14">
        <f t="shared" si="7"/>
        <v>2.3648673652409986</v>
      </c>
      <c r="E14">
        <f t="shared" si="8"/>
        <v>101.12805332420405</v>
      </c>
      <c r="F14" s="1">
        <f t="shared" si="9"/>
        <v>165.6870112245345</v>
      </c>
      <c r="G14" s="3">
        <f t="shared" si="10"/>
        <v>165.42967229101845</v>
      </c>
      <c r="H14" s="3">
        <f t="shared" si="11"/>
        <v>-25.733893351605275</v>
      </c>
      <c r="I14" s="3">
        <f t="shared" si="12"/>
        <v>155.05097601686586</v>
      </c>
      <c r="J14" s="3">
        <f t="shared" si="13"/>
        <v>-1063.603520766864</v>
      </c>
      <c r="K14" s="3">
        <f t="shared" si="15"/>
        <v>-25.743893351591908</v>
      </c>
      <c r="L14" s="3">
        <f t="shared" si="14"/>
        <v>-1081.24352076686</v>
      </c>
      <c r="M14" s="3">
        <f t="shared" si="16"/>
        <v>2.4729917173176847</v>
      </c>
      <c r="N14" s="3">
        <f t="shared" si="17"/>
        <v>1.8061983734172731</v>
      </c>
    </row>
    <row r="15" spans="1:14" x14ac:dyDescent="0.2">
      <c r="A15">
        <v>62</v>
      </c>
      <c r="B15">
        <v>154</v>
      </c>
      <c r="C15">
        <f t="shared" si="6"/>
        <v>1.8061983734172731</v>
      </c>
      <c r="D15">
        <f t="shared" si="7"/>
        <v>2.4729917173176847</v>
      </c>
      <c r="E15">
        <f t="shared" si="8"/>
        <v>155.13168484711372</v>
      </c>
      <c r="F15" s="1">
        <f t="shared" si="9"/>
        <v>1.2807105931867988</v>
      </c>
      <c r="G15" s="3">
        <f t="shared" si="10"/>
        <v>1.3034442901291172</v>
      </c>
      <c r="H15" s="3">
        <f t="shared" si="11"/>
        <v>2.2733696942318415</v>
      </c>
      <c r="I15" s="3">
        <f t="shared" si="12"/>
        <v>3.0683998036077251</v>
      </c>
      <c r="J15" s="3">
        <f t="shared" si="13"/>
        <v>178.76892104209261</v>
      </c>
      <c r="K15" s="3">
        <f t="shared" si="15"/>
        <v>2.2633696942274355</v>
      </c>
      <c r="L15" s="3">
        <f t="shared" si="14"/>
        <v>140.328921042101</v>
      </c>
      <c r="M15" s="3">
        <f t="shared" si="16"/>
        <v>2.4589588252134749</v>
      </c>
      <c r="N15" s="3">
        <f t="shared" si="17"/>
        <v>1.8059720364478504</v>
      </c>
    </row>
    <row r="16" spans="1:14" x14ac:dyDescent="0.2">
      <c r="A16">
        <v>47</v>
      </c>
      <c r="B16">
        <v>124</v>
      </c>
      <c r="C16">
        <f t="shared" si="6"/>
        <v>1.8059720364478504</v>
      </c>
      <c r="D16">
        <f t="shared" si="7"/>
        <v>2.4589588252134749</v>
      </c>
      <c r="E16">
        <f t="shared" si="8"/>
        <v>117.37703682148117</v>
      </c>
      <c r="F16" s="1">
        <f t="shared" si="9"/>
        <v>43.863641264016245</v>
      </c>
      <c r="G16" s="3">
        <f t="shared" si="10"/>
        <v>43.731282000445994</v>
      </c>
      <c r="H16" s="3">
        <f t="shared" si="11"/>
        <v>-13.235926357025107</v>
      </c>
      <c r="I16" s="3">
        <f t="shared" si="12"/>
        <v>37.858955876208562</v>
      </c>
      <c r="J16" s="3">
        <f t="shared" si="13"/>
        <v>-600.46853878076831</v>
      </c>
      <c r="K16" s="3">
        <f t="shared" si="15"/>
        <v>-13.245926357037661</v>
      </c>
      <c r="L16" s="3">
        <f t="shared" si="14"/>
        <v>-622.55853878077005</v>
      </c>
      <c r="M16" s="3">
        <f t="shared" si="16"/>
        <v>2.5212146790915519</v>
      </c>
      <c r="N16" s="3">
        <f t="shared" si="17"/>
        <v>1.8072966290835542</v>
      </c>
    </row>
    <row r="17" spans="1:14" x14ac:dyDescent="0.2">
      <c r="A17">
        <v>35</v>
      </c>
      <c r="B17">
        <v>100</v>
      </c>
      <c r="C17">
        <f t="shared" si="6"/>
        <v>1.8072966290835542</v>
      </c>
      <c r="D17">
        <f t="shared" si="7"/>
        <v>2.5212146790915519</v>
      </c>
      <c r="E17">
        <f t="shared" si="8"/>
        <v>90.049810397287871</v>
      </c>
      <c r="F17" s="1">
        <f t="shared" si="9"/>
        <v>99.006273129920558</v>
      </c>
      <c r="G17" s="3">
        <f t="shared" si="10"/>
        <v>98.807369337866206</v>
      </c>
      <c r="H17" s="3">
        <f t="shared" si="11"/>
        <v>-19.890379205435238</v>
      </c>
      <c r="I17" s="3">
        <f t="shared" si="12"/>
        <v>92.163640408022175</v>
      </c>
      <c r="J17" s="3">
        <f t="shared" si="13"/>
        <v>-684.26327218983829</v>
      </c>
      <c r="K17" s="3">
        <f t="shared" si="15"/>
        <v>-19.900379205424258</v>
      </c>
      <c r="L17" s="3">
        <f t="shared" si="14"/>
        <v>-696.51327218984898</v>
      </c>
      <c r="M17" s="3">
        <f t="shared" si="16"/>
        <v>2.5908660063105367</v>
      </c>
      <c r="N17" s="3">
        <f t="shared" si="17"/>
        <v>1.8092866670040966</v>
      </c>
    </row>
    <row r="18" spans="1:14" x14ac:dyDescent="0.2">
      <c r="A18">
        <v>9</v>
      </c>
      <c r="B18">
        <v>48</v>
      </c>
      <c r="C18">
        <f t="shared" si="6"/>
        <v>1.8092866670040966</v>
      </c>
      <c r="D18">
        <f t="shared" si="7"/>
        <v>2.5908660063105367</v>
      </c>
      <c r="E18">
        <f t="shared" si="8"/>
        <v>25.127080723798926</v>
      </c>
      <c r="F18" s="1">
        <f t="shared" si="9"/>
        <v>523.17043621561061</v>
      </c>
      <c r="G18" s="3">
        <f t="shared" si="10"/>
        <v>522.7130778300866</v>
      </c>
      <c r="H18" s="3">
        <f t="shared" si="11"/>
        <v>-45.73583855240031</v>
      </c>
      <c r="I18" s="3">
        <f t="shared" si="12"/>
        <v>519.06141074589459</v>
      </c>
      <c r="J18" s="3">
        <f t="shared" si="13"/>
        <v>-410.90254697160162</v>
      </c>
      <c r="K18" s="3">
        <f t="shared" si="15"/>
        <v>-45.745838552402148</v>
      </c>
      <c r="L18" s="3">
        <f t="shared" si="14"/>
        <v>-411.7125469716193</v>
      </c>
      <c r="M18" s="3">
        <f t="shared" si="16"/>
        <v>2.6320372610076985</v>
      </c>
      <c r="N18" s="3">
        <f t="shared" si="17"/>
        <v>1.8138612508593368</v>
      </c>
    </row>
    <row r="19" spans="1:14" x14ac:dyDescent="0.2">
      <c r="A19">
        <v>38</v>
      </c>
      <c r="B19">
        <v>106</v>
      </c>
      <c r="C19">
        <f t="shared" si="6"/>
        <v>1.8138612508593368</v>
      </c>
      <c r="D19">
        <f t="shared" si="7"/>
        <v>2.6320372610076985</v>
      </c>
      <c r="E19">
        <f t="shared" si="8"/>
        <v>101.83127716915187</v>
      </c>
      <c r="F19" s="1">
        <f t="shared" si="9"/>
        <v>17.378250040434406</v>
      </c>
      <c r="G19" s="3">
        <f t="shared" si="10"/>
        <v>17.294975583817401</v>
      </c>
      <c r="H19" s="3">
        <f t="shared" si="11"/>
        <v>-8.3274456617004944</v>
      </c>
      <c r="I19" s="3">
        <f t="shared" si="12"/>
        <v>14.354420688989865</v>
      </c>
      <c r="J19" s="3">
        <f t="shared" si="13"/>
        <v>-302.382935144454</v>
      </c>
      <c r="K19" s="3">
        <f t="shared" si="15"/>
        <v>-8.3374456616962505</v>
      </c>
      <c r="L19" s="3">
        <f t="shared" si="14"/>
        <v>-316.82293514445752</v>
      </c>
      <c r="M19" s="3">
        <f t="shared" si="16"/>
        <v>2.6637195545221442</v>
      </c>
      <c r="N19" s="3">
        <f t="shared" si="17"/>
        <v>1.8146949954255065</v>
      </c>
    </row>
    <row r="20" spans="1:14" x14ac:dyDescent="0.2">
      <c r="A20">
        <v>44</v>
      </c>
      <c r="B20">
        <v>118</v>
      </c>
      <c r="C20">
        <f t="shared" si="6"/>
        <v>1.8146949954255065</v>
      </c>
      <c r="D20">
        <f t="shared" si="7"/>
        <v>2.6637195545221442</v>
      </c>
      <c r="E20">
        <f t="shared" si="8"/>
        <v>119.01835539439985</v>
      </c>
      <c r="F20" s="1">
        <f t="shared" si="9"/>
        <v>1.0370477093032691</v>
      </c>
      <c r="G20" s="3">
        <f t="shared" si="10"/>
        <v>1.0575148171912474</v>
      </c>
      <c r="H20" s="3">
        <f t="shared" si="11"/>
        <v>2.0467107887978342</v>
      </c>
      <c r="I20" s="3">
        <f t="shared" si="12"/>
        <v>2.1268004563751282</v>
      </c>
      <c r="J20" s="3">
        <f t="shared" si="13"/>
        <v>108.9752747071859</v>
      </c>
      <c r="K20" s="3">
        <f t="shared" si="15"/>
        <v>2.0367107887996951</v>
      </c>
      <c r="L20" s="3">
        <f t="shared" si="14"/>
        <v>89.615274707186586</v>
      </c>
      <c r="M20" s="3">
        <f t="shared" si="16"/>
        <v>2.6547580270514253</v>
      </c>
      <c r="N20" s="3">
        <f t="shared" si="17"/>
        <v>1.8144913243466265</v>
      </c>
    </row>
    <row r="21" spans="1:14" x14ac:dyDescent="0.2">
      <c r="A21">
        <v>99</v>
      </c>
      <c r="B21">
        <v>228</v>
      </c>
      <c r="C21">
        <f t="shared" si="6"/>
        <v>1.8144913243466265</v>
      </c>
      <c r="D21">
        <f t="shared" si="7"/>
        <v>2.6547580270514253</v>
      </c>
      <c r="E21">
        <f t="shared" si="8"/>
        <v>264.63553600243773</v>
      </c>
      <c r="F21" s="1">
        <f t="shared" si="9"/>
        <v>1342.1624981859113</v>
      </c>
      <c r="G21" s="3">
        <f t="shared" si="10"/>
        <v>1342.8953089059594</v>
      </c>
      <c r="H21" s="3">
        <f t="shared" si="11"/>
        <v>73.281072004806447</v>
      </c>
      <c r="I21" s="3">
        <f t="shared" si="12"/>
        <v>1415.6809594707386</v>
      </c>
      <c r="J21" s="3">
        <f t="shared" si="13"/>
        <v>7351.8461284827254</v>
      </c>
      <c r="K21" s="3">
        <f t="shared" si="15"/>
        <v>73.271072004875464</v>
      </c>
      <c r="L21" s="3">
        <f t="shared" si="14"/>
        <v>7253.8361284826706</v>
      </c>
      <c r="M21" s="3">
        <f t="shared" si="16"/>
        <v>1.9293744142031581</v>
      </c>
      <c r="N21" s="3">
        <f t="shared" si="17"/>
        <v>1.8071642171461391</v>
      </c>
    </row>
    <row r="22" spans="1:14" x14ac:dyDescent="0.2">
      <c r="A22">
        <v>13</v>
      </c>
      <c r="B22">
        <v>56</v>
      </c>
      <c r="C22">
        <f t="shared" si="6"/>
        <v>1.8071642171461391</v>
      </c>
      <c r="D22">
        <f t="shared" si="7"/>
        <v>1.9293744142031581</v>
      </c>
      <c r="E22">
        <f t="shared" si="8"/>
        <v>26.889031601787195</v>
      </c>
      <c r="F22" s="1">
        <f t="shared" si="9"/>
        <v>847.4484810817446</v>
      </c>
      <c r="G22" s="3">
        <f t="shared" si="10"/>
        <v>846.86636171378029</v>
      </c>
      <c r="H22" s="3">
        <f t="shared" si="11"/>
        <v>-58.211936796431019</v>
      </c>
      <c r="I22" s="3">
        <f t="shared" si="12"/>
        <v>839.89652929820932</v>
      </c>
      <c r="J22" s="3">
        <f t="shared" si="13"/>
        <v>-755.19517835352872</v>
      </c>
      <c r="K22" s="3">
        <f t="shared" si="15"/>
        <v>-58.221936796425609</v>
      </c>
      <c r="L22" s="3">
        <f t="shared" si="14"/>
        <v>-756.88517835353287</v>
      </c>
      <c r="M22" s="3">
        <f t="shared" si="16"/>
        <v>2.0050629320385114</v>
      </c>
      <c r="N22" s="3">
        <f t="shared" si="17"/>
        <v>1.8129864108257816</v>
      </c>
    </row>
    <row r="23" spans="1:14" x14ac:dyDescent="0.2">
      <c r="A23">
        <v>21</v>
      </c>
      <c r="B23">
        <v>72</v>
      </c>
      <c r="C23">
        <f t="shared" si="6"/>
        <v>1.8129864108257816</v>
      </c>
      <c r="D23">
        <f t="shared" si="7"/>
        <v>2.0050629320385114</v>
      </c>
      <c r="E23">
        <f t="shared" si="8"/>
        <v>43.919307983634518</v>
      </c>
      <c r="F23" s="1">
        <f t="shared" si="9"/>
        <v>788.52526411797214</v>
      </c>
      <c r="G23" s="3">
        <f t="shared" si="10"/>
        <v>787.96375027764452</v>
      </c>
      <c r="H23" s="3">
        <f t="shared" si="11"/>
        <v>-56.151384032762053</v>
      </c>
      <c r="I23" s="3">
        <f t="shared" si="12"/>
        <v>776.77547347109896</v>
      </c>
      <c r="J23" s="3">
        <f t="shared" si="13"/>
        <v>-1174.979064687318</v>
      </c>
      <c r="K23" s="3">
        <f t="shared" si="15"/>
        <v>-56.161384032730965</v>
      </c>
      <c r="L23" s="3">
        <f t="shared" si="14"/>
        <v>-1179.3890646873504</v>
      </c>
      <c r="M23" s="3">
        <f t="shared" si="16"/>
        <v>2.1230018385072462</v>
      </c>
      <c r="N23" s="3">
        <f t="shared" si="17"/>
        <v>1.8186025492290547</v>
      </c>
    </row>
    <row r="24" spans="1:14" x14ac:dyDescent="0.2">
      <c r="A24">
        <v>28</v>
      </c>
      <c r="B24">
        <v>86</v>
      </c>
      <c r="C24">
        <f t="shared" si="6"/>
        <v>1.8186025492290547</v>
      </c>
      <c r="D24">
        <f t="shared" si="7"/>
        <v>2.1230018385072462</v>
      </c>
      <c r="E24">
        <f t="shared" si="8"/>
        <v>61.26265402743195</v>
      </c>
      <c r="F24" s="1">
        <f t="shared" si="9"/>
        <v>611.93628576652873</v>
      </c>
      <c r="G24" s="3">
        <f t="shared" si="10"/>
        <v>611.44163884707746</v>
      </c>
      <c r="H24" s="3">
        <f t="shared" si="11"/>
        <v>-49.464691945127015</v>
      </c>
      <c r="I24" s="3">
        <f t="shared" si="12"/>
        <v>598.1617720218909</v>
      </c>
      <c r="J24" s="3">
        <f t="shared" si="13"/>
        <v>-1377.4513744637829</v>
      </c>
      <c r="K24" s="3">
        <f t="shared" si="15"/>
        <v>-49.474691945136101</v>
      </c>
      <c r="L24" s="3">
        <f t="shared" si="14"/>
        <v>-1385.2913744638108</v>
      </c>
      <c r="M24" s="3">
        <f t="shared" si="16"/>
        <v>2.2615309759536273</v>
      </c>
      <c r="N24" s="3">
        <f t="shared" si="17"/>
        <v>1.8235500184235685</v>
      </c>
    </row>
    <row r="25" spans="1:14" x14ac:dyDescent="0.2">
      <c r="A25">
        <v>20</v>
      </c>
      <c r="B25">
        <v>70</v>
      </c>
      <c r="C25">
        <f t="shared" si="6"/>
        <v>1.8235500184235685</v>
      </c>
      <c r="D25">
        <f t="shared" si="7"/>
        <v>2.2615309759536273</v>
      </c>
      <c r="E25">
        <f t="shared" si="8"/>
        <v>47.054169537496115</v>
      </c>
      <c r="F25" s="1">
        <f t="shared" si="9"/>
        <v>526.51113561397131</v>
      </c>
      <c r="G25" s="3">
        <f t="shared" si="10"/>
        <v>526.05231900472131</v>
      </c>
      <c r="H25" s="3">
        <f t="shared" si="11"/>
        <v>-45.881660924999323</v>
      </c>
      <c r="I25" s="3">
        <f t="shared" si="12"/>
        <v>517.37280342896986</v>
      </c>
      <c r="J25" s="3">
        <f t="shared" si="13"/>
        <v>-913.83321850014454</v>
      </c>
      <c r="K25" s="3">
        <f t="shared" si="15"/>
        <v>-45.89166092500777</v>
      </c>
      <c r="L25" s="3">
        <f t="shared" si="14"/>
        <v>-917.83321850015545</v>
      </c>
      <c r="M25" s="3">
        <f t="shared" si="16"/>
        <v>2.3533142978036428</v>
      </c>
      <c r="N25" s="3">
        <f t="shared" si="17"/>
        <v>1.8281391845160693</v>
      </c>
    </row>
    <row r="26" spans="1:14" x14ac:dyDescent="0.2">
      <c r="A26">
        <v>8</v>
      </c>
      <c r="B26">
        <v>46</v>
      </c>
      <c r="C26">
        <f t="shared" si="6"/>
        <v>1.8281391845160693</v>
      </c>
      <c r="D26">
        <f t="shared" si="7"/>
        <v>2.3533142978036428</v>
      </c>
      <c r="E26">
        <f t="shared" si="8"/>
        <v>20.65465356694521</v>
      </c>
      <c r="F26" s="1">
        <f t="shared" si="9"/>
        <v>642.38658581156312</v>
      </c>
      <c r="G26" s="3">
        <f t="shared" si="10"/>
        <v>641.87977888290197</v>
      </c>
      <c r="H26" s="3">
        <f t="shared" si="11"/>
        <v>-50.680692866114896</v>
      </c>
      <c r="I26" s="3">
        <f t="shared" si="12"/>
        <v>638.33773038227446</v>
      </c>
      <c r="J26" s="3">
        <f t="shared" si="13"/>
        <v>-404.88554292886647</v>
      </c>
      <c r="K26" s="3">
        <f t="shared" si="15"/>
        <v>-50.690692866109579</v>
      </c>
      <c r="L26" s="3">
        <f t="shared" si="14"/>
        <v>-405.52554292887663</v>
      </c>
      <c r="M26" s="3">
        <f t="shared" si="16"/>
        <v>2.3938668520965303</v>
      </c>
      <c r="N26" s="3">
        <f t="shared" si="17"/>
        <v>1.8332082538026802</v>
      </c>
    </row>
    <row r="27" spans="1:14" x14ac:dyDescent="0.2">
      <c r="A27">
        <v>64</v>
      </c>
      <c r="B27">
        <v>158</v>
      </c>
      <c r="C27">
        <f t="shared" si="6"/>
        <v>1.8332082538026802</v>
      </c>
      <c r="D27">
        <f t="shared" si="7"/>
        <v>2.3938668520965303</v>
      </c>
      <c r="E27">
        <f t="shared" si="8"/>
        <v>155.0406867879806</v>
      </c>
      <c r="F27" s="1">
        <f t="shared" si="9"/>
        <v>8.7575346868325532</v>
      </c>
      <c r="G27" s="3">
        <f t="shared" si="10"/>
        <v>8.6984484225920511</v>
      </c>
      <c r="H27" s="3">
        <f t="shared" si="11"/>
        <v>-5.9086264240502118</v>
      </c>
      <c r="I27" s="3">
        <f t="shared" si="12"/>
        <v>5.3792137754477896</v>
      </c>
      <c r="J27" s="3">
        <f t="shared" si="13"/>
        <v>-337.83209113847636</v>
      </c>
      <c r="K27" s="3">
        <f t="shared" si="15"/>
        <v>-5.9186264240387914</v>
      </c>
      <c r="L27" s="3">
        <f t="shared" si="14"/>
        <v>-378.79209113848265</v>
      </c>
      <c r="M27" s="3">
        <f t="shared" si="16"/>
        <v>2.4317460612103785</v>
      </c>
      <c r="N27" s="3">
        <f t="shared" si="17"/>
        <v>1.8338001164450841</v>
      </c>
    </row>
    <row r="28" spans="1:14" x14ac:dyDescent="0.2">
      <c r="A28">
        <v>99</v>
      </c>
      <c r="B28">
        <v>228</v>
      </c>
      <c r="C28">
        <f t="shared" si="6"/>
        <v>1.8338001164450841</v>
      </c>
      <c r="D28">
        <f t="shared" si="7"/>
        <v>2.4317460612103785</v>
      </c>
      <c r="E28">
        <f t="shared" si="8"/>
        <v>242.57666017627255</v>
      </c>
      <c r="F28" s="1">
        <f t="shared" si="9"/>
        <v>212.47902189453021</v>
      </c>
      <c r="G28" s="3">
        <f t="shared" si="10"/>
        <v>212.77065509805624</v>
      </c>
      <c r="H28" s="3">
        <f t="shared" si="11"/>
        <v>29.16332035260325</v>
      </c>
      <c r="I28" s="3">
        <f t="shared" si="12"/>
        <v>242.32090904354928</v>
      </c>
      <c r="J28" s="3">
        <f t="shared" si="13"/>
        <v>2984.1887149019071</v>
      </c>
      <c r="K28" s="3">
        <f t="shared" si="15"/>
        <v>29.153320352545109</v>
      </c>
      <c r="L28" s="3">
        <f t="shared" si="14"/>
        <v>2886.1787149019656</v>
      </c>
      <c r="M28" s="3">
        <f t="shared" si="16"/>
        <v>2.1431281897201817</v>
      </c>
      <c r="N28" s="3">
        <f t="shared" si="17"/>
        <v>1.8308847844098297</v>
      </c>
    </row>
    <row r="29" spans="1:14" x14ac:dyDescent="0.2">
      <c r="A29">
        <v>70</v>
      </c>
      <c r="B29">
        <v>170</v>
      </c>
      <c r="C29">
        <f t="shared" si="6"/>
        <v>1.8308847844098297</v>
      </c>
      <c r="D29">
        <f t="shared" si="7"/>
        <v>2.1431281897201817</v>
      </c>
      <c r="E29">
        <f t="shared" si="8"/>
        <v>151.84985806482254</v>
      </c>
      <c r="F29" s="1">
        <f t="shared" si="9"/>
        <v>329.42765226708735</v>
      </c>
      <c r="G29" s="3">
        <f t="shared" si="10"/>
        <v>329.0647494283831</v>
      </c>
      <c r="H29" s="3">
        <f t="shared" si="11"/>
        <v>-36.29028387042581</v>
      </c>
      <c r="I29" s="3">
        <f t="shared" si="12"/>
        <v>304.50745355783931</v>
      </c>
      <c r="J29" s="3">
        <f t="shared" si="13"/>
        <v>-2492.0198709248039</v>
      </c>
      <c r="K29" s="3">
        <f t="shared" si="15"/>
        <v>-36.300283870354917</v>
      </c>
      <c r="L29" s="3">
        <f t="shared" si="14"/>
        <v>-2541.0198709248443</v>
      </c>
      <c r="M29" s="3">
        <f t="shared" si="16"/>
        <v>2.3972301768126663</v>
      </c>
      <c r="N29" s="3">
        <f t="shared" si="17"/>
        <v>1.8345148127968651</v>
      </c>
    </row>
    <row r="30" spans="1:14" x14ac:dyDescent="0.2">
      <c r="A30">
        <v>27</v>
      </c>
      <c r="B30">
        <v>84</v>
      </c>
      <c r="C30">
        <f t="shared" si="6"/>
        <v>1.8345148127968651</v>
      </c>
      <c r="D30">
        <f t="shared" si="7"/>
        <v>2.3972301768126663</v>
      </c>
      <c r="E30">
        <f t="shared" si="8"/>
        <v>66.559729586738854</v>
      </c>
      <c r="F30" s="1">
        <f t="shared" si="9"/>
        <v>304.16303208767209</v>
      </c>
      <c r="G30" s="3">
        <f t="shared" si="10"/>
        <v>303.8143266794072</v>
      </c>
      <c r="H30" s="3">
        <f t="shared" si="11"/>
        <v>-34.870540826489105</v>
      </c>
      <c r="I30" s="3">
        <f t="shared" si="12"/>
        <v>294.81818606451122</v>
      </c>
      <c r="J30" s="3">
        <f t="shared" si="13"/>
        <v>-934.48460231608692</v>
      </c>
      <c r="K30" s="3">
        <f t="shared" si="15"/>
        <v>-34.880540826522292</v>
      </c>
      <c r="L30" s="3">
        <f t="shared" si="14"/>
        <v>-941.77460231610189</v>
      </c>
      <c r="M30" s="3">
        <f t="shared" si="16"/>
        <v>2.4914076370442766</v>
      </c>
      <c r="N30" s="3">
        <f t="shared" si="17"/>
        <v>1.8380028668795174</v>
      </c>
    </row>
    <row r="31" spans="1:14" x14ac:dyDescent="0.2">
      <c r="A31">
        <v>17</v>
      </c>
      <c r="B31">
        <v>64</v>
      </c>
      <c r="C31">
        <f t="shared" si="6"/>
        <v>1.8380028668795174</v>
      </c>
      <c r="D31">
        <f t="shared" si="7"/>
        <v>2.4914076370442766</v>
      </c>
      <c r="E31">
        <f t="shared" si="8"/>
        <v>44.191932696632222</v>
      </c>
      <c r="F31" s="1">
        <f t="shared" si="9"/>
        <v>392.35953029474763</v>
      </c>
      <c r="G31" s="3">
        <f t="shared" si="10"/>
        <v>391.96346894868037</v>
      </c>
      <c r="H31" s="3">
        <f t="shared" si="11"/>
        <v>-39.606134606725618</v>
      </c>
      <c r="I31" s="3">
        <f t="shared" si="12"/>
        <v>385.65368741160279</v>
      </c>
      <c r="J31" s="3">
        <f t="shared" si="13"/>
        <v>-670.58428831448396</v>
      </c>
      <c r="K31" s="3">
        <f t="shared" si="15"/>
        <v>-39.616134606735557</v>
      </c>
      <c r="L31" s="3">
        <f t="shared" si="14"/>
        <v>-673.47428831450452</v>
      </c>
      <c r="M31" s="3">
        <f t="shared" si="16"/>
        <v>2.5587550658757272</v>
      </c>
      <c r="N31" s="3">
        <f t="shared" si="17"/>
        <v>1.8419644803401909</v>
      </c>
    </row>
    <row r="32" spans="1:14" x14ac:dyDescent="0.2">
      <c r="A32">
        <v>8</v>
      </c>
      <c r="B32">
        <v>46</v>
      </c>
      <c r="C32">
        <f t="shared" si="6"/>
        <v>1.8419644803401909</v>
      </c>
      <c r="D32">
        <f t="shared" si="7"/>
        <v>2.5587550658757272</v>
      </c>
      <c r="E32">
        <f t="shared" si="8"/>
        <v>22.312005007346009</v>
      </c>
      <c r="F32" s="1">
        <f t="shared" si="9"/>
        <v>561.12110677200053</v>
      </c>
      <c r="G32" s="3">
        <f t="shared" si="10"/>
        <v>560.64744687214761</v>
      </c>
      <c r="H32" s="3">
        <f t="shared" si="11"/>
        <v>-47.36598998529189</v>
      </c>
      <c r="I32" s="3">
        <f t="shared" si="12"/>
        <v>557.337427573176</v>
      </c>
      <c r="J32" s="3">
        <f t="shared" si="13"/>
        <v>-378.36791988245295</v>
      </c>
      <c r="K32" s="3">
        <f t="shared" si="15"/>
        <v>-47.375989985307982</v>
      </c>
      <c r="L32" s="3">
        <f t="shared" si="14"/>
        <v>-379.00791988246385</v>
      </c>
      <c r="M32" s="3">
        <f t="shared" si="16"/>
        <v>2.5966558578639738</v>
      </c>
      <c r="N32" s="3">
        <f t="shared" si="17"/>
        <v>1.8467020793387217</v>
      </c>
    </row>
    <row r="33" spans="3:12" x14ac:dyDescent="0.2">
      <c r="E33" t="s">
        <v>2</v>
      </c>
      <c r="F33" s="1">
        <f>SQRT(SUM(F4:F32))</f>
        <v>102.12704882550973</v>
      </c>
      <c r="K33" s="3">
        <f>SQRT(SUMSQ(K4:K32))</f>
        <v>204.25409765101946</v>
      </c>
      <c r="L33" s="3">
        <f>SQRT(SUMSQ(L4:L32))</f>
        <v>10347.607434674062</v>
      </c>
    </row>
    <row r="36" spans="3:12" x14ac:dyDescent="0.2">
      <c r="C36" t="s">
        <v>20</v>
      </c>
    </row>
    <row r="37" spans="3:12" x14ac:dyDescent="0.2">
      <c r="C37" t="s">
        <v>2</v>
      </c>
    </row>
    <row r="38" spans="3:12" x14ac:dyDescent="0.2">
      <c r="C38">
        <v>150.75521153771854</v>
      </c>
    </row>
    <row r="39" spans="3:12" x14ac:dyDescent="0.2">
      <c r="C39">
        <v>104.74921026693299</v>
      </c>
    </row>
    <row r="40" spans="3:12" x14ac:dyDescent="0.2">
      <c r="C40">
        <v>104.55969980561993</v>
      </c>
    </row>
    <row r="41" spans="3:12" x14ac:dyDescent="0.2">
      <c r="C41">
        <v>104.37053295106034</v>
      </c>
    </row>
    <row r="42" spans="3:12" x14ac:dyDescent="0.2">
      <c r="C42">
        <v>104.18170833255277</v>
      </c>
    </row>
    <row r="43" spans="3:12" x14ac:dyDescent="0.2">
      <c r="C43">
        <v>103.99322533093216</v>
      </c>
    </row>
    <row r="44" spans="3:12" x14ac:dyDescent="0.2">
      <c r="C44">
        <v>103.8050833281535</v>
      </c>
    </row>
    <row r="45" spans="3:12" x14ac:dyDescent="0.2">
      <c r="C45">
        <v>103.6172817072901</v>
      </c>
    </row>
    <row r="46" spans="3:12" x14ac:dyDescent="0.2">
      <c r="C46">
        <v>103.42981985253128</v>
      </c>
    </row>
    <row r="47" spans="3:12" x14ac:dyDescent="0.2">
      <c r="C47">
        <v>103.24269714918051</v>
      </c>
    </row>
    <row r="48" spans="3:12" x14ac:dyDescent="0.2">
      <c r="C48">
        <v>103.05591298365337</v>
      </c>
    </row>
    <row r="49" spans="3:3" x14ac:dyDescent="0.2">
      <c r="C49">
        <v>102.86946674347551</v>
      </c>
    </row>
    <row r="50" spans="3:3" x14ac:dyDescent="0.2">
      <c r="C50">
        <v>102.68335781728057</v>
      </c>
    </row>
    <row r="51" spans="3:3" x14ac:dyDescent="0.2">
      <c r="C51">
        <v>102.4975855948084</v>
      </c>
    </row>
    <row r="52" spans="3:3" x14ac:dyDescent="0.2">
      <c r="C52">
        <v>102.3121494669028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sic.somesteps">
                <anchor moveWithCells="1">
                  <from>
                    <xdr:col>0</xdr:col>
                    <xdr:colOff>0</xdr:colOff>
                    <xdr:row>1</xdr:row>
                    <xdr:rowOff>12700</xdr:rowOff>
                  </from>
                  <to>
                    <xdr:col>0</xdr:col>
                    <xdr:colOff>508000</xdr:colOff>
                    <xdr:row>1</xdr:row>
                    <xdr:rowOff>215900</xdr:rowOff>
                  </to>
                </anchor>
              </controlPr>
            </control>
          </mc:Choice>
        </mc:AlternateContent>
        <mc:AlternateContent xmlns:mc="http://schemas.openxmlformats.org/markup-compatibility/2006">
          <mc:Choice Requires="x14">
            <control shapeId="16386" r:id="rId5" name="Button 2">
              <controlPr defaultSize="0" print="0" autoFill="0" autoPict="0" macro="[0]!basic.reset">
                <anchor moveWithCells="1">
                  <from>
                    <xdr:col>0</xdr:col>
                    <xdr:colOff>0</xdr:colOff>
                    <xdr:row>0</xdr:row>
                    <xdr:rowOff>25400</xdr:rowOff>
                  </from>
                  <to>
                    <xdr:col>0</xdr:col>
                    <xdr:colOff>508000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27AD3-80DA-AD48-9D04-4F5B0B7BF5FC}">
  <sheetPr codeName="basic2"/>
  <dimension ref="A1:N52"/>
  <sheetViews>
    <sheetView zoomScale="130" zoomScaleNormal="130" workbookViewId="0">
      <pane ySplit="3" topLeftCell="A5" activePane="bottomLeft" state="frozen"/>
      <selection pane="bottomLeft" activeCell="Q13" sqref="Q13"/>
    </sheetView>
  </sheetViews>
  <sheetFormatPr baseColWidth="10" defaultColWidth="8.83203125" defaultRowHeight="15" x14ac:dyDescent="0.2"/>
  <cols>
    <col min="1" max="1" width="7" customWidth="1"/>
    <col min="2" max="2" width="7.83203125" bestFit="1" customWidth="1"/>
    <col min="3" max="3" width="9.6640625" customWidth="1"/>
    <col min="4" max="4" width="7" customWidth="1"/>
    <col min="5" max="5" width="8.1640625" customWidth="1"/>
    <col min="6" max="6" width="6.83203125" bestFit="1" customWidth="1"/>
    <col min="7" max="7" width="8.6640625" bestFit="1" customWidth="1"/>
    <col min="8" max="8" width="11.1640625" bestFit="1" customWidth="1"/>
    <col min="9" max="9" width="10.83203125" customWidth="1"/>
    <col min="10" max="10" width="9.1640625" bestFit="1" customWidth="1"/>
    <col min="11" max="11" width="6.83203125" bestFit="1" customWidth="1"/>
    <col min="12" max="12" width="9.1640625" bestFit="1" customWidth="1"/>
    <col min="13" max="13" width="11.6640625" customWidth="1"/>
    <col min="14" max="14" width="12.83203125" customWidth="1"/>
  </cols>
  <sheetData>
    <row r="1" spans="1:14" ht="17.5" customHeight="1" x14ac:dyDescent="0.2">
      <c r="B1" t="s">
        <v>19</v>
      </c>
      <c r="C1">
        <v>1.8084002245116528</v>
      </c>
      <c r="E1" t="s">
        <v>14</v>
      </c>
      <c r="F1">
        <v>1E-4</v>
      </c>
      <c r="L1" t="s">
        <v>4</v>
      </c>
    </row>
    <row r="2" spans="1:14" ht="17.5" customHeight="1" x14ac:dyDescent="0.2">
      <c r="B2" t="s">
        <v>0</v>
      </c>
      <c r="C2">
        <v>2.5544226236709555</v>
      </c>
      <c r="H2" t="s">
        <v>3</v>
      </c>
      <c r="K2" t="s">
        <v>5</v>
      </c>
    </row>
    <row r="3" spans="1:14" s="2" customFormat="1" x14ac:dyDescent="0.2">
      <c r="A3" s="2" t="s">
        <v>15</v>
      </c>
      <c r="B3" s="2" t="s">
        <v>16</v>
      </c>
      <c r="C3" s="2" t="s">
        <v>73</v>
      </c>
      <c r="D3" s="2" t="s">
        <v>72</v>
      </c>
      <c r="E3" s="2" t="s">
        <v>17</v>
      </c>
      <c r="F3" s="2" t="s">
        <v>1</v>
      </c>
      <c r="G3" s="2" t="s">
        <v>7</v>
      </c>
      <c r="H3" s="2" t="s">
        <v>10</v>
      </c>
      <c r="I3" s="2" t="s">
        <v>8</v>
      </c>
      <c r="J3" s="2" t="s">
        <v>11</v>
      </c>
      <c r="K3" s="2" t="s">
        <v>6</v>
      </c>
      <c r="L3" s="2" t="s">
        <v>9</v>
      </c>
      <c r="M3" s="2" t="s">
        <v>12</v>
      </c>
      <c r="N3" s="2" t="s">
        <v>13</v>
      </c>
    </row>
    <row r="4" spans="1:14" x14ac:dyDescent="0.2">
      <c r="A4">
        <v>14</v>
      </c>
      <c r="B4">
        <v>58</v>
      </c>
      <c r="C4">
        <f>C1</f>
        <v>1.8084002245116528</v>
      </c>
      <c r="D4">
        <f>C2</f>
        <v>2.5544226236709555</v>
      </c>
      <c r="E4">
        <f>C4+D4*A4</f>
        <v>37.570316955905028</v>
      </c>
      <c r="F4" s="1">
        <f>(B4-E4)^2</f>
        <v>417.37194928218162</v>
      </c>
      <c r="G4" s="3">
        <f>(((C4+0.01)+A4*D4)-B4)^2</f>
        <v>416.96345562129949</v>
      </c>
      <c r="H4" s="3">
        <f>(G4-F4)/0.01</f>
        <v>-40.849366088212946</v>
      </c>
      <c r="I4" s="3">
        <f>(((D4+0.01)*A4+C4)-B4)^2</f>
        <v>411.67123802983525</v>
      </c>
      <c r="J4" s="3">
        <f>(I4-F4)/0.01</f>
        <v>-570.07112523463661</v>
      </c>
      <c r="K4" s="3">
        <f>2*(E4-B4)</f>
        <v>-40.859366088189944</v>
      </c>
      <c r="L4" s="3">
        <f>K4*A4</f>
        <v>-572.03112523465916</v>
      </c>
      <c r="M4" s="3">
        <f>D4-J4*$F$1</f>
        <v>2.611429736194419</v>
      </c>
      <c r="N4" s="3">
        <f>C4-H4*$F$1</f>
        <v>1.8124851611204742</v>
      </c>
    </row>
    <row r="5" spans="1:14" x14ac:dyDescent="0.2">
      <c r="A5">
        <v>86</v>
      </c>
      <c r="B5">
        <v>202</v>
      </c>
      <c r="C5">
        <f>N4</f>
        <v>1.8124851611204742</v>
      </c>
      <c r="D5">
        <f>M4</f>
        <v>2.611429736194419</v>
      </c>
      <c r="E5">
        <f>C5+D5*A5</f>
        <v>226.39544247384049</v>
      </c>
      <c r="F5" s="1">
        <f>(B5-E5)^2</f>
        <v>595.13761349446054</v>
      </c>
      <c r="G5" s="3">
        <f>(((C5+0.01)+A5*D5)-B5)^2</f>
        <v>595.62562234393829</v>
      </c>
      <c r="H5" s="3">
        <f>(G5-F5)/0.01</f>
        <v>48.800884947775103</v>
      </c>
      <c r="I5" s="3">
        <f>(((D5+0.01)*A5+C5)-B5)^2</f>
        <v>637.83737454946549</v>
      </c>
      <c r="J5" s="3">
        <f>(I5-F5)/0.01</f>
        <v>4269.9761055004956</v>
      </c>
      <c r="K5" s="3">
        <f t="shared" ref="K5:K32" si="0">2*(E5-B5)</f>
        <v>48.790884947680979</v>
      </c>
      <c r="L5" s="3">
        <f>K5*A5</f>
        <v>4196.0161055005647</v>
      </c>
      <c r="M5" s="3">
        <f t="shared" ref="M5:M32" si="1">D5-J5*$F$1</f>
        <v>2.1844321256443693</v>
      </c>
      <c r="N5" s="3">
        <f t="shared" ref="N5:N32" si="2">C5-H5*$F$1</f>
        <v>1.8076050726256967</v>
      </c>
    </row>
    <row r="6" spans="1:14" x14ac:dyDescent="0.2">
      <c r="A6">
        <v>28</v>
      </c>
      <c r="B6">
        <v>86</v>
      </c>
      <c r="C6">
        <f>N5</f>
        <v>1.8076050726256967</v>
      </c>
      <c r="D6">
        <f>M5</f>
        <v>2.1844321256443693</v>
      </c>
      <c r="E6">
        <f>C6+D6*A6</f>
        <v>62.97170459066804</v>
      </c>
      <c r="F6" s="1">
        <f>(B6-E6)^2</f>
        <v>530.30238945945939</v>
      </c>
      <c r="G6" s="3">
        <f>(((C6+0.01)+A6*D6)-B6)^2</f>
        <v>529.84192355127288</v>
      </c>
      <c r="H6" s="3">
        <f>(G6-F6)/0.01</f>
        <v>-46.046590818650657</v>
      </c>
      <c r="I6" s="3">
        <f>(((D6+0.01)*A6+C6)-B6)^2</f>
        <v>517.48494403023381</v>
      </c>
      <c r="J6" s="3">
        <f>(I6-F6)/0.01</f>
        <v>-1281.7445429225586</v>
      </c>
      <c r="K6" s="3">
        <f t="shared" si="0"/>
        <v>-46.056590818663921</v>
      </c>
      <c r="L6" s="3">
        <f>K6*A6</f>
        <v>-1289.5845429225897</v>
      </c>
      <c r="M6" s="3">
        <f t="shared" si="1"/>
        <v>2.3126065799366251</v>
      </c>
      <c r="N6" s="3">
        <f t="shared" si="2"/>
        <v>1.8122097317075618</v>
      </c>
    </row>
    <row r="7" spans="1:14" x14ac:dyDescent="0.2">
      <c r="A7">
        <v>51</v>
      </c>
      <c r="B7">
        <v>132</v>
      </c>
      <c r="C7">
        <f t="shared" ref="C7:C32" si="3">N6</f>
        <v>1.8122097317075618</v>
      </c>
      <c r="D7">
        <f t="shared" ref="D7:D32" si="4">M6</f>
        <v>2.3126065799366251</v>
      </c>
      <c r="E7">
        <f t="shared" ref="E7:E32" si="5">C7+D7*A7</f>
        <v>119.75514530847545</v>
      </c>
      <c r="F7" s="1">
        <f t="shared" ref="F7:F32" si="6">(B7-E7)^2</f>
        <v>149.93646641655081</v>
      </c>
      <c r="G7" s="3">
        <f t="shared" ref="G7:G32" si="7">(((C7+0.01)+A7*D7)-B7)^2</f>
        <v>149.69166932272054</v>
      </c>
      <c r="H7" s="3">
        <f t="shared" ref="H7:H32" si="8">(G7-F7)/0.01</f>
        <v>-24.479709383027171</v>
      </c>
      <c r="I7" s="3">
        <f t="shared" ref="I7:I32" si="9">(((D7+0.01)*A7+C7)-B7)^2</f>
        <v>137.70681463119598</v>
      </c>
      <c r="J7" s="3">
        <f t="shared" ref="J7:J32" si="10">(I7-F7)/0.01</f>
        <v>-1222.9651785354831</v>
      </c>
      <c r="K7" s="3">
        <f t="shared" si="0"/>
        <v>-24.489709383049103</v>
      </c>
      <c r="L7" s="3">
        <f t="shared" ref="L7:L32" si="11">K7*A7</f>
        <v>-1248.9751785355043</v>
      </c>
      <c r="M7" s="3">
        <f t="shared" si="1"/>
        <v>2.4349030977901736</v>
      </c>
      <c r="N7" s="3">
        <f t="shared" si="2"/>
        <v>1.8146577026458646</v>
      </c>
    </row>
    <row r="8" spans="1:14" x14ac:dyDescent="0.2">
      <c r="A8">
        <v>28</v>
      </c>
      <c r="B8">
        <v>86</v>
      </c>
      <c r="C8">
        <f t="shared" si="3"/>
        <v>1.8146577026458646</v>
      </c>
      <c r="D8">
        <f t="shared" si="4"/>
        <v>2.4349030977901736</v>
      </c>
      <c r="E8">
        <f t="shared" si="5"/>
        <v>69.991944440770723</v>
      </c>
      <c r="F8" s="1">
        <f t="shared" si="6"/>
        <v>256.25784278737137</v>
      </c>
      <c r="G8" s="3">
        <f t="shared" si="7"/>
        <v>255.9377816761866</v>
      </c>
      <c r="H8" s="3">
        <f t="shared" si="8"/>
        <v>-32.006111118477065</v>
      </c>
      <c r="I8" s="3">
        <f t="shared" si="9"/>
        <v>247.37173167420337</v>
      </c>
      <c r="J8" s="3">
        <f t="shared" si="10"/>
        <v>-888.61111131679991</v>
      </c>
      <c r="K8" s="3">
        <f t="shared" si="0"/>
        <v>-32.016111118458554</v>
      </c>
      <c r="L8" s="3">
        <f t="shared" si="11"/>
        <v>-896.4511113168395</v>
      </c>
      <c r="M8" s="3">
        <f t="shared" si="1"/>
        <v>2.5237642089218535</v>
      </c>
      <c r="N8" s="3">
        <f t="shared" si="2"/>
        <v>1.8178583137577122</v>
      </c>
    </row>
    <row r="9" spans="1:14" x14ac:dyDescent="0.2">
      <c r="A9">
        <v>29</v>
      </c>
      <c r="B9">
        <v>88</v>
      </c>
      <c r="C9">
        <f t="shared" si="3"/>
        <v>1.8178583137577122</v>
      </c>
      <c r="D9">
        <f t="shared" si="4"/>
        <v>2.5237642089218535</v>
      </c>
      <c r="E9">
        <f t="shared" si="5"/>
        <v>75.007020372491468</v>
      </c>
      <c r="F9" s="1">
        <f t="shared" si="6"/>
        <v>168.81751960085177</v>
      </c>
      <c r="G9" s="3">
        <f t="shared" si="7"/>
        <v>168.55776000830144</v>
      </c>
      <c r="H9" s="3">
        <f t="shared" si="8"/>
        <v>-25.975959255032421</v>
      </c>
      <c r="I9" s="3">
        <f t="shared" si="9"/>
        <v>161.36569141689702</v>
      </c>
      <c r="J9" s="3">
        <f t="shared" si="10"/>
        <v>-745.18281839547456</v>
      </c>
      <c r="K9" s="3">
        <f t="shared" si="0"/>
        <v>-25.985959255017065</v>
      </c>
      <c r="L9" s="3">
        <f t="shared" si="11"/>
        <v>-753.59281839549487</v>
      </c>
      <c r="M9" s="3">
        <f t="shared" si="1"/>
        <v>2.5982824907614011</v>
      </c>
      <c r="N9" s="3">
        <f t="shared" si="2"/>
        <v>1.8204559096832156</v>
      </c>
    </row>
    <row r="10" spans="1:14" x14ac:dyDescent="0.2">
      <c r="A10">
        <v>72</v>
      </c>
      <c r="B10">
        <v>174</v>
      </c>
      <c r="C10">
        <f t="shared" si="3"/>
        <v>1.8204559096832156</v>
      </c>
      <c r="D10">
        <f t="shared" si="4"/>
        <v>2.5982824907614011</v>
      </c>
      <c r="E10">
        <f t="shared" si="5"/>
        <v>188.89679524450409</v>
      </c>
      <c r="F10" s="1">
        <f t="shared" si="6"/>
        <v>221.91450855667969</v>
      </c>
      <c r="G10" s="3">
        <f t="shared" si="7"/>
        <v>222.21254446157036</v>
      </c>
      <c r="H10" s="3">
        <f t="shared" si="8"/>
        <v>29.803590489066778</v>
      </c>
      <c r="I10" s="3">
        <f t="shared" si="9"/>
        <v>243.88429370876466</v>
      </c>
      <c r="J10" s="3">
        <f t="shared" si="10"/>
        <v>2196.9785152084964</v>
      </c>
      <c r="K10" s="3">
        <f t="shared" si="0"/>
        <v>29.793590489008182</v>
      </c>
      <c r="L10" s="3">
        <f t="shared" si="11"/>
        <v>2145.1385152085891</v>
      </c>
      <c r="M10" s="3">
        <f t="shared" si="1"/>
        <v>2.3785846392405512</v>
      </c>
      <c r="N10" s="3">
        <f t="shared" si="2"/>
        <v>1.817475550634309</v>
      </c>
    </row>
    <row r="11" spans="1:14" x14ac:dyDescent="0.2">
      <c r="A11">
        <v>62</v>
      </c>
      <c r="B11">
        <v>154</v>
      </c>
      <c r="C11">
        <f t="shared" si="3"/>
        <v>1.817475550634309</v>
      </c>
      <c r="D11">
        <f t="shared" si="4"/>
        <v>2.3785846392405512</v>
      </c>
      <c r="E11">
        <f t="shared" si="5"/>
        <v>149.28972318354846</v>
      </c>
      <c r="F11" s="1">
        <f t="shared" si="6"/>
        <v>22.186707687600851</v>
      </c>
      <c r="G11" s="3">
        <f t="shared" si="7"/>
        <v>22.092602151271638</v>
      </c>
      <c r="H11" s="3">
        <f t="shared" si="8"/>
        <v>-9.4105536329212924</v>
      </c>
      <c r="I11" s="3">
        <f t="shared" si="9"/>
        <v>16.730364435200904</v>
      </c>
      <c r="J11" s="3">
        <f t="shared" si="10"/>
        <v>-545.63432523999461</v>
      </c>
      <c r="K11" s="3">
        <f t="shared" si="0"/>
        <v>-9.4205536329030792</v>
      </c>
      <c r="L11" s="3">
        <f t="shared" si="11"/>
        <v>-584.07432523999091</v>
      </c>
      <c r="M11" s="3">
        <f t="shared" si="1"/>
        <v>2.4331480717645508</v>
      </c>
      <c r="N11" s="3">
        <f t="shared" si="2"/>
        <v>1.818416605997601</v>
      </c>
    </row>
    <row r="12" spans="1:14" x14ac:dyDescent="0.2">
      <c r="A12">
        <v>84</v>
      </c>
      <c r="B12">
        <v>198</v>
      </c>
      <c r="C12">
        <f t="shared" si="3"/>
        <v>1.818416605997601</v>
      </c>
      <c r="D12">
        <f t="shared" si="4"/>
        <v>2.4331480717645508</v>
      </c>
      <c r="E12">
        <f t="shared" si="5"/>
        <v>206.20285463421988</v>
      </c>
      <c r="F12" s="1">
        <f t="shared" si="6"/>
        <v>67.286824150142479</v>
      </c>
      <c r="G12" s="3">
        <f t="shared" si="7"/>
        <v>67.450981242826728</v>
      </c>
      <c r="H12" s="3">
        <f t="shared" si="8"/>
        <v>16.415709268424905</v>
      </c>
      <c r="I12" s="3">
        <f t="shared" si="9"/>
        <v>81.773219935631928</v>
      </c>
      <c r="J12" s="3">
        <f t="shared" si="10"/>
        <v>1448.6395785489449</v>
      </c>
      <c r="K12" s="3">
        <f t="shared" si="0"/>
        <v>16.40570926843975</v>
      </c>
      <c r="L12" s="3">
        <f t="shared" si="11"/>
        <v>1378.079578548939</v>
      </c>
      <c r="M12" s="3">
        <f t="shared" si="1"/>
        <v>2.2882841139096564</v>
      </c>
      <c r="N12" s="3">
        <f t="shared" si="2"/>
        <v>1.8167750350707585</v>
      </c>
    </row>
    <row r="13" spans="1:14" x14ac:dyDescent="0.2">
      <c r="A13">
        <v>15</v>
      </c>
      <c r="B13">
        <v>60</v>
      </c>
      <c r="C13">
        <f t="shared" si="3"/>
        <v>1.8167750350707585</v>
      </c>
      <c r="D13">
        <f t="shared" si="4"/>
        <v>2.2882841139096564</v>
      </c>
      <c r="E13">
        <f t="shared" si="5"/>
        <v>36.141036743715603</v>
      </c>
      <c r="F13" s="1">
        <f t="shared" si="6"/>
        <v>569.25012766472901</v>
      </c>
      <c r="G13" s="3">
        <f t="shared" si="7"/>
        <v>568.773048399603</v>
      </c>
      <c r="H13" s="3">
        <f t="shared" si="8"/>
        <v>-47.707926512600807</v>
      </c>
      <c r="I13" s="3">
        <f t="shared" si="9"/>
        <v>562.11493868784407</v>
      </c>
      <c r="J13" s="3">
        <f t="shared" si="10"/>
        <v>-713.51889768849333</v>
      </c>
      <c r="K13" s="3">
        <f t="shared" si="0"/>
        <v>-47.717926512568795</v>
      </c>
      <c r="L13" s="3">
        <f t="shared" si="11"/>
        <v>-715.76889768853198</v>
      </c>
      <c r="M13" s="3">
        <f t="shared" si="1"/>
        <v>2.3596360036785056</v>
      </c>
      <c r="N13" s="3">
        <f t="shared" si="2"/>
        <v>1.8215458277220187</v>
      </c>
    </row>
    <row r="14" spans="1:14" x14ac:dyDescent="0.2">
      <c r="A14">
        <v>42</v>
      </c>
      <c r="B14">
        <v>114</v>
      </c>
      <c r="C14">
        <f t="shared" si="3"/>
        <v>1.8215458277220187</v>
      </c>
      <c r="D14">
        <f t="shared" si="4"/>
        <v>2.3596360036785056</v>
      </c>
      <c r="E14">
        <f t="shared" si="5"/>
        <v>100.92625798221925</v>
      </c>
      <c r="F14" s="1">
        <f t="shared" si="6"/>
        <v>170.92273034748575</v>
      </c>
      <c r="G14" s="3">
        <f t="shared" si="7"/>
        <v>170.66135550713</v>
      </c>
      <c r="H14" s="3">
        <f t="shared" si="8"/>
        <v>-26.137484035575653</v>
      </c>
      <c r="I14" s="3">
        <f t="shared" si="9"/>
        <v>160.11718705255024</v>
      </c>
      <c r="J14" s="3">
        <f t="shared" si="10"/>
        <v>-1080.5543294935517</v>
      </c>
      <c r="K14" s="3">
        <f t="shared" si="0"/>
        <v>-26.14748403556149</v>
      </c>
      <c r="L14" s="3">
        <f t="shared" si="11"/>
        <v>-1098.1943294935827</v>
      </c>
      <c r="M14" s="3">
        <f t="shared" si="1"/>
        <v>2.4676914366278608</v>
      </c>
      <c r="N14" s="3">
        <f t="shared" si="2"/>
        <v>1.8241595761255762</v>
      </c>
    </row>
    <row r="15" spans="1:14" x14ac:dyDescent="0.2">
      <c r="A15">
        <v>62</v>
      </c>
      <c r="B15">
        <v>154</v>
      </c>
      <c r="C15">
        <f t="shared" si="3"/>
        <v>1.8241595761255762</v>
      </c>
      <c r="D15">
        <f t="shared" si="4"/>
        <v>2.4676914366278608</v>
      </c>
      <c r="E15">
        <f t="shared" si="5"/>
        <v>154.82102864705294</v>
      </c>
      <c r="F15" s="1">
        <f t="shared" si="6"/>
        <v>0.6740880392815829</v>
      </c>
      <c r="G15" s="3">
        <f t="shared" si="7"/>
        <v>0.69060861222267389</v>
      </c>
      <c r="H15" s="3">
        <f t="shared" si="8"/>
        <v>1.6520572941090994</v>
      </c>
      <c r="I15" s="3">
        <f t="shared" si="9"/>
        <v>2.0765635616271609</v>
      </c>
      <c r="J15" s="3">
        <f t="shared" si="10"/>
        <v>140.24755223455779</v>
      </c>
      <c r="K15" s="3">
        <f t="shared" si="0"/>
        <v>1.6420572941058822</v>
      </c>
      <c r="L15" s="3">
        <f t="shared" si="11"/>
        <v>101.8075522345647</v>
      </c>
      <c r="M15" s="3">
        <f t="shared" si="1"/>
        <v>2.453666681404405</v>
      </c>
      <c r="N15" s="3">
        <f t="shared" si="2"/>
        <v>1.8239943703961654</v>
      </c>
    </row>
    <row r="16" spans="1:14" x14ac:dyDescent="0.2">
      <c r="A16">
        <v>47</v>
      </c>
      <c r="B16">
        <v>124</v>
      </c>
      <c r="C16">
        <f t="shared" si="3"/>
        <v>1.8239943703961654</v>
      </c>
      <c r="D16">
        <f t="shared" si="4"/>
        <v>2.453666681404405</v>
      </c>
      <c r="E16">
        <f t="shared" si="5"/>
        <v>117.14632839640321</v>
      </c>
      <c r="F16" s="1">
        <f t="shared" si="6"/>
        <v>46.972814449949055</v>
      </c>
      <c r="G16" s="3">
        <f t="shared" si="7"/>
        <v>46.835841017877044</v>
      </c>
      <c r="H16" s="3">
        <f t="shared" si="8"/>
        <v>-13.697343207201129</v>
      </c>
      <c r="I16" s="3">
        <f t="shared" si="9"/>
        <v>40.751263142568263</v>
      </c>
      <c r="J16" s="3">
        <f t="shared" si="10"/>
        <v>-622.15513073807927</v>
      </c>
      <c r="K16" s="3">
        <f t="shared" si="0"/>
        <v>-13.707343207193588</v>
      </c>
      <c r="L16" s="3">
        <f t="shared" si="11"/>
        <v>-644.24513073809862</v>
      </c>
      <c r="M16" s="3">
        <f t="shared" si="1"/>
        <v>2.515882194478213</v>
      </c>
      <c r="N16" s="3">
        <f t="shared" si="2"/>
        <v>1.8253641047168856</v>
      </c>
    </row>
    <row r="17" spans="1:14" x14ac:dyDescent="0.2">
      <c r="A17">
        <v>35</v>
      </c>
      <c r="B17">
        <v>100</v>
      </c>
      <c r="C17">
        <f t="shared" si="3"/>
        <v>1.8253641047168856</v>
      </c>
      <c r="D17">
        <f t="shared" si="4"/>
        <v>2.515882194478213</v>
      </c>
      <c r="E17">
        <f t="shared" si="5"/>
        <v>89.881240911454341</v>
      </c>
      <c r="F17" s="1">
        <f t="shared" si="6"/>
        <v>102.38928549202537</v>
      </c>
      <c r="G17" s="3">
        <f t="shared" si="7"/>
        <v>102.18701031025435</v>
      </c>
      <c r="H17" s="3">
        <f t="shared" si="8"/>
        <v>-20.227518177101445</v>
      </c>
      <c r="I17" s="3">
        <f t="shared" si="9"/>
        <v>95.428654130043512</v>
      </c>
      <c r="J17" s="3">
        <f t="shared" si="10"/>
        <v>-696.06313619818536</v>
      </c>
      <c r="K17" s="3">
        <f t="shared" si="0"/>
        <v>-20.237518177091317</v>
      </c>
      <c r="L17" s="3">
        <f t="shared" si="11"/>
        <v>-708.31313619819616</v>
      </c>
      <c r="M17" s="3">
        <f t="shared" si="1"/>
        <v>2.5854885080980314</v>
      </c>
      <c r="N17" s="3">
        <f t="shared" si="2"/>
        <v>1.8273868565345956</v>
      </c>
    </row>
    <row r="18" spans="1:14" x14ac:dyDescent="0.2">
      <c r="A18">
        <v>9</v>
      </c>
      <c r="B18">
        <v>48</v>
      </c>
      <c r="C18">
        <f t="shared" si="3"/>
        <v>1.8273868565345956</v>
      </c>
      <c r="D18">
        <f t="shared" si="4"/>
        <v>2.5854885080980314</v>
      </c>
      <c r="E18">
        <f t="shared" si="5"/>
        <v>25.096783429416877</v>
      </c>
      <c r="F18" s="1">
        <f t="shared" si="6"/>
        <v>524.5573292790333</v>
      </c>
      <c r="G18" s="3">
        <f t="shared" si="7"/>
        <v>524.09936494762155</v>
      </c>
      <c r="H18" s="3">
        <f t="shared" si="8"/>
        <v>-45.796433141174475</v>
      </c>
      <c r="I18" s="3">
        <f t="shared" si="9"/>
        <v>520.4428502963284</v>
      </c>
      <c r="J18" s="3">
        <f t="shared" si="10"/>
        <v>-411.44789827048953</v>
      </c>
      <c r="K18" s="3">
        <f t="shared" si="0"/>
        <v>-45.806433141166245</v>
      </c>
      <c r="L18" s="3">
        <f t="shared" si="11"/>
        <v>-412.25789827049618</v>
      </c>
      <c r="M18" s="3">
        <f t="shared" si="1"/>
        <v>2.6266332979250806</v>
      </c>
      <c r="N18" s="3">
        <f t="shared" si="2"/>
        <v>1.8319664998487131</v>
      </c>
    </row>
    <row r="19" spans="1:14" x14ac:dyDescent="0.2">
      <c r="A19">
        <v>38</v>
      </c>
      <c r="B19">
        <v>106</v>
      </c>
      <c r="C19">
        <f t="shared" si="3"/>
        <v>1.8319664998487131</v>
      </c>
      <c r="D19">
        <f t="shared" si="4"/>
        <v>2.6266332979250806</v>
      </c>
      <c r="E19">
        <f t="shared" si="5"/>
        <v>101.64403182100178</v>
      </c>
      <c r="F19" s="1">
        <f t="shared" si="6"/>
        <v>18.974458776445111</v>
      </c>
      <c r="G19" s="3">
        <f t="shared" si="7"/>
        <v>18.887439412865227</v>
      </c>
      <c r="H19" s="3">
        <f t="shared" si="8"/>
        <v>-8.7019363579884157</v>
      </c>
      <c r="I19" s="3">
        <f t="shared" si="9"/>
        <v>15.808322960406498</v>
      </c>
      <c r="J19" s="3">
        <f t="shared" si="10"/>
        <v>-316.61358160386135</v>
      </c>
      <c r="K19" s="3">
        <f t="shared" si="0"/>
        <v>-8.7119363579964499</v>
      </c>
      <c r="L19" s="3">
        <f t="shared" si="11"/>
        <v>-331.0535816038651</v>
      </c>
      <c r="M19" s="3">
        <f t="shared" si="1"/>
        <v>2.6582946560854666</v>
      </c>
      <c r="N19" s="3">
        <f t="shared" si="2"/>
        <v>1.8328366934845119</v>
      </c>
    </row>
    <row r="20" spans="1:14" x14ac:dyDescent="0.2">
      <c r="A20">
        <v>44</v>
      </c>
      <c r="B20">
        <v>118</v>
      </c>
      <c r="C20">
        <f t="shared" si="3"/>
        <v>1.8328366934845119</v>
      </c>
      <c r="D20">
        <f t="shared" si="4"/>
        <v>2.6582946560854666</v>
      </c>
      <c r="E20">
        <f t="shared" si="5"/>
        <v>118.79780156124504</v>
      </c>
      <c r="F20" s="1">
        <f t="shared" si="6"/>
        <v>0.63648733112501976</v>
      </c>
      <c r="G20" s="3">
        <f t="shared" si="7"/>
        <v>0.65254336234992871</v>
      </c>
      <c r="H20" s="3">
        <f t="shared" si="8"/>
        <v>1.6056031224908951</v>
      </c>
      <c r="I20" s="3">
        <f t="shared" si="9"/>
        <v>1.5321527050206474</v>
      </c>
      <c r="J20" s="3">
        <f t="shared" si="10"/>
        <v>89.566537389562754</v>
      </c>
      <c r="K20" s="3">
        <f t="shared" si="0"/>
        <v>1.5956031224900755</v>
      </c>
      <c r="L20" s="3">
        <f t="shared" si="11"/>
        <v>70.206537389563323</v>
      </c>
      <c r="M20" s="3">
        <f t="shared" si="1"/>
        <v>2.6493380023465103</v>
      </c>
      <c r="N20" s="3">
        <f t="shared" si="2"/>
        <v>1.832676133172263</v>
      </c>
    </row>
    <row r="21" spans="1:14" x14ac:dyDescent="0.2">
      <c r="A21">
        <v>99</v>
      </c>
      <c r="B21">
        <v>228</v>
      </c>
      <c r="C21">
        <f t="shared" si="3"/>
        <v>1.832676133172263</v>
      </c>
      <c r="D21">
        <f t="shared" si="4"/>
        <v>2.6493380023465103</v>
      </c>
      <c r="E21">
        <f t="shared" si="5"/>
        <v>264.11713836547676</v>
      </c>
      <c r="F21" s="1">
        <f t="shared" si="6"/>
        <v>1304.4476837109935</v>
      </c>
      <c r="G21" s="3">
        <f t="shared" si="7"/>
        <v>1305.1701264783064</v>
      </c>
      <c r="H21" s="3">
        <f t="shared" si="8"/>
        <v>72.244276731294121</v>
      </c>
      <c r="I21" s="3">
        <f t="shared" si="9"/>
        <v>1376.9397176746338</v>
      </c>
      <c r="J21" s="3">
        <f t="shared" si="10"/>
        <v>7249.2033963640324</v>
      </c>
      <c r="K21" s="3">
        <f t="shared" si="0"/>
        <v>72.234276730953525</v>
      </c>
      <c r="L21" s="3">
        <f t="shared" si="11"/>
        <v>7151.1933963643987</v>
      </c>
      <c r="M21" s="3">
        <f t="shared" si="1"/>
        <v>1.9244176627101071</v>
      </c>
      <c r="N21" s="3">
        <f t="shared" si="2"/>
        <v>1.8254517054991335</v>
      </c>
    </row>
    <row r="22" spans="1:14" x14ac:dyDescent="0.2">
      <c r="A22">
        <v>13</v>
      </c>
      <c r="B22">
        <v>56</v>
      </c>
      <c r="C22">
        <f t="shared" si="3"/>
        <v>1.8254517054991335</v>
      </c>
      <c r="D22">
        <f t="shared" si="4"/>
        <v>1.9244176627101071</v>
      </c>
      <c r="E22">
        <f t="shared" si="5"/>
        <v>26.842881320730527</v>
      </c>
      <c r="F22" s="1">
        <f t="shared" si="6"/>
        <v>850.13756967700488</v>
      </c>
      <c r="G22" s="3">
        <f t="shared" si="7"/>
        <v>849.5545273034196</v>
      </c>
      <c r="H22" s="3">
        <f t="shared" si="8"/>
        <v>-58.304237358527189</v>
      </c>
      <c r="I22" s="3">
        <f t="shared" si="9"/>
        <v>842.57361882039481</v>
      </c>
      <c r="J22" s="3">
        <f t="shared" si="10"/>
        <v>-756.39508566100631</v>
      </c>
      <c r="K22" s="3">
        <f t="shared" si="0"/>
        <v>-58.314237358538946</v>
      </c>
      <c r="L22" s="3">
        <f t="shared" si="11"/>
        <v>-758.08508566100636</v>
      </c>
      <c r="M22" s="3">
        <f t="shared" si="1"/>
        <v>2.0000571712762079</v>
      </c>
      <c r="N22" s="3">
        <f t="shared" si="2"/>
        <v>1.8312821292349861</v>
      </c>
    </row>
    <row r="23" spans="1:14" x14ac:dyDescent="0.2">
      <c r="A23">
        <v>21</v>
      </c>
      <c r="B23">
        <v>72</v>
      </c>
      <c r="C23">
        <f t="shared" si="3"/>
        <v>1.8312821292349861</v>
      </c>
      <c r="D23">
        <f t="shared" si="4"/>
        <v>2.0000571712762079</v>
      </c>
      <c r="E23">
        <f t="shared" si="5"/>
        <v>43.832482726035352</v>
      </c>
      <c r="F23" s="1">
        <f t="shared" si="6"/>
        <v>793.40902937909686</v>
      </c>
      <c r="G23" s="3">
        <f t="shared" si="7"/>
        <v>792.84577903361765</v>
      </c>
      <c r="H23" s="3">
        <f t="shared" si="8"/>
        <v>-56.325034547921859</v>
      </c>
      <c r="I23" s="3">
        <f t="shared" si="9"/>
        <v>781.62277212403205</v>
      </c>
      <c r="J23" s="3">
        <f t="shared" si="10"/>
        <v>-1178.6257255064811</v>
      </c>
      <c r="K23" s="3">
        <f t="shared" si="0"/>
        <v>-56.335034547929297</v>
      </c>
      <c r="L23" s="3">
        <f t="shared" si="11"/>
        <v>-1183.0357255065153</v>
      </c>
      <c r="M23" s="3">
        <f t="shared" si="1"/>
        <v>2.1179197438268558</v>
      </c>
      <c r="N23" s="3">
        <f t="shared" si="2"/>
        <v>1.8369146326897783</v>
      </c>
    </row>
    <row r="24" spans="1:14" x14ac:dyDescent="0.2">
      <c r="A24">
        <v>28</v>
      </c>
      <c r="B24">
        <v>86</v>
      </c>
      <c r="C24">
        <f t="shared" si="3"/>
        <v>1.8369146326897783</v>
      </c>
      <c r="D24">
        <f t="shared" si="4"/>
        <v>2.1179197438268558</v>
      </c>
      <c r="E24">
        <f t="shared" si="5"/>
        <v>61.138667459841734</v>
      </c>
      <c r="F24" s="1">
        <f t="shared" si="6"/>
        <v>618.08585567233229</v>
      </c>
      <c r="G24" s="3">
        <f t="shared" si="7"/>
        <v>617.58872902152882</v>
      </c>
      <c r="H24" s="3">
        <f t="shared" si="8"/>
        <v>-49.712665080346596</v>
      </c>
      <c r="I24" s="3">
        <f t="shared" si="9"/>
        <v>604.24190944984355</v>
      </c>
      <c r="J24" s="3">
        <f t="shared" si="10"/>
        <v>-1384.3946222488739</v>
      </c>
      <c r="K24" s="3">
        <f t="shared" si="0"/>
        <v>-49.722665080316531</v>
      </c>
      <c r="L24" s="3">
        <f t="shared" si="11"/>
        <v>-1392.2346222488629</v>
      </c>
      <c r="M24" s="3">
        <f t="shared" si="1"/>
        <v>2.256359206051743</v>
      </c>
      <c r="N24" s="3">
        <f t="shared" si="2"/>
        <v>1.8418858991978129</v>
      </c>
    </row>
    <row r="25" spans="1:14" x14ac:dyDescent="0.2">
      <c r="A25">
        <v>20</v>
      </c>
      <c r="B25">
        <v>70</v>
      </c>
      <c r="C25">
        <f t="shared" si="3"/>
        <v>1.8418858991978129</v>
      </c>
      <c r="D25">
        <f t="shared" si="4"/>
        <v>2.256359206051743</v>
      </c>
      <c r="E25">
        <f t="shared" si="5"/>
        <v>46.969070020232671</v>
      </c>
      <c r="F25" s="1">
        <f t="shared" si="6"/>
        <v>530.42373573294549</v>
      </c>
      <c r="G25" s="3">
        <f t="shared" si="7"/>
        <v>529.96321713335033</v>
      </c>
      <c r="H25" s="3">
        <f t="shared" si="8"/>
        <v>-46.05185995951615</v>
      </c>
      <c r="I25" s="3">
        <f t="shared" si="9"/>
        <v>521.25136374103886</v>
      </c>
      <c r="J25" s="3">
        <f t="shared" si="10"/>
        <v>-917.23719919066298</v>
      </c>
      <c r="K25" s="3">
        <f t="shared" si="0"/>
        <v>-46.061859959534658</v>
      </c>
      <c r="L25" s="3">
        <f t="shared" si="11"/>
        <v>-921.23719919069322</v>
      </c>
      <c r="M25" s="3">
        <f t="shared" si="1"/>
        <v>2.3480829259708091</v>
      </c>
      <c r="N25" s="3">
        <f t="shared" si="2"/>
        <v>1.8464910851937646</v>
      </c>
    </row>
    <row r="26" spans="1:14" x14ac:dyDescent="0.2">
      <c r="A26">
        <v>8</v>
      </c>
      <c r="B26">
        <v>46</v>
      </c>
      <c r="C26">
        <f t="shared" si="3"/>
        <v>1.8464910851937646</v>
      </c>
      <c r="D26">
        <f t="shared" si="4"/>
        <v>2.3480829259708091</v>
      </c>
      <c r="E26">
        <f t="shared" si="5"/>
        <v>20.631154492960238</v>
      </c>
      <c r="F26" s="1">
        <f t="shared" si="6"/>
        <v>643.57832236005152</v>
      </c>
      <c r="G26" s="3">
        <f t="shared" si="7"/>
        <v>643.0710454499108</v>
      </c>
      <c r="H26" s="3">
        <f t="shared" si="8"/>
        <v>-50.727691014071752</v>
      </c>
      <c r="I26" s="3">
        <f t="shared" si="9"/>
        <v>639.52570707892528</v>
      </c>
      <c r="J26" s="3">
        <f t="shared" si="10"/>
        <v>-405.26152811262364</v>
      </c>
      <c r="K26" s="3">
        <f t="shared" si="0"/>
        <v>-50.737691014079523</v>
      </c>
      <c r="L26" s="3">
        <f t="shared" si="11"/>
        <v>-405.90152811263619</v>
      </c>
      <c r="M26" s="3">
        <f t="shared" si="1"/>
        <v>2.3886090787820713</v>
      </c>
      <c r="N26" s="3">
        <f t="shared" si="2"/>
        <v>1.8515638542951718</v>
      </c>
    </row>
    <row r="27" spans="1:14" x14ac:dyDescent="0.2">
      <c r="A27">
        <v>64</v>
      </c>
      <c r="B27">
        <v>158</v>
      </c>
      <c r="C27">
        <f t="shared" si="3"/>
        <v>1.8515638542951718</v>
      </c>
      <c r="D27">
        <f t="shared" si="4"/>
        <v>2.3886090787820713</v>
      </c>
      <c r="E27">
        <f t="shared" si="5"/>
        <v>154.72254489634773</v>
      </c>
      <c r="F27" s="1">
        <f t="shared" si="6"/>
        <v>10.741711956456328</v>
      </c>
      <c r="G27" s="3">
        <f t="shared" si="7"/>
        <v>10.676262854383156</v>
      </c>
      <c r="H27" s="3">
        <f t="shared" si="8"/>
        <v>-6.5449102073172227</v>
      </c>
      <c r="I27" s="3">
        <f t="shared" si="9"/>
        <v>6.9561694237814908</v>
      </c>
      <c r="J27" s="3">
        <f t="shared" si="10"/>
        <v>-378.55425326748372</v>
      </c>
      <c r="K27" s="3">
        <f t="shared" si="0"/>
        <v>-6.5549102073045447</v>
      </c>
      <c r="L27" s="3">
        <f t="shared" si="11"/>
        <v>-419.51425326749086</v>
      </c>
      <c r="M27" s="3">
        <f t="shared" si="1"/>
        <v>2.4264645041088198</v>
      </c>
      <c r="N27" s="3">
        <f t="shared" si="2"/>
        <v>1.8522183453159036</v>
      </c>
    </row>
    <row r="28" spans="1:14" x14ac:dyDescent="0.2">
      <c r="A28">
        <v>99</v>
      </c>
      <c r="B28">
        <v>228</v>
      </c>
      <c r="C28">
        <f t="shared" si="3"/>
        <v>1.8522183453159036</v>
      </c>
      <c r="D28">
        <f t="shared" si="4"/>
        <v>2.4264645041088198</v>
      </c>
      <c r="E28">
        <f t="shared" si="5"/>
        <v>242.07220425208905</v>
      </c>
      <c r="F28" s="1">
        <f t="shared" si="6"/>
        <v>198.02693251251318</v>
      </c>
      <c r="G28" s="3">
        <f t="shared" si="7"/>
        <v>198.30847659755548</v>
      </c>
      <c r="H28" s="3">
        <f t="shared" si="8"/>
        <v>28.154408504229878</v>
      </c>
      <c r="I28" s="3">
        <f t="shared" si="9"/>
        <v>226.8699969316489</v>
      </c>
      <c r="J28" s="3">
        <f t="shared" si="10"/>
        <v>2884.3064419135712</v>
      </c>
      <c r="K28" s="3">
        <f t="shared" si="0"/>
        <v>28.144408504178102</v>
      </c>
      <c r="L28" s="3">
        <f t="shared" si="11"/>
        <v>2786.296441913632</v>
      </c>
      <c r="M28" s="3">
        <f t="shared" si="1"/>
        <v>2.1380338599174626</v>
      </c>
      <c r="N28" s="3">
        <f t="shared" si="2"/>
        <v>1.8494029044654805</v>
      </c>
    </row>
    <row r="29" spans="1:14" x14ac:dyDescent="0.2">
      <c r="A29">
        <v>70</v>
      </c>
      <c r="B29">
        <v>170</v>
      </c>
      <c r="C29">
        <f t="shared" si="3"/>
        <v>1.8494029044654805</v>
      </c>
      <c r="D29">
        <f t="shared" si="4"/>
        <v>2.1380338599174626</v>
      </c>
      <c r="E29">
        <f t="shared" si="5"/>
        <v>151.51177309868785</v>
      </c>
      <c r="F29" s="1">
        <f t="shared" si="6"/>
        <v>341.81453395440212</v>
      </c>
      <c r="G29" s="3">
        <f t="shared" si="7"/>
        <v>341.44486941637621</v>
      </c>
      <c r="H29" s="3">
        <f t="shared" si="8"/>
        <v>-36.966453802591559</v>
      </c>
      <c r="I29" s="3">
        <f t="shared" si="9"/>
        <v>316.42101629256553</v>
      </c>
      <c r="J29" s="3">
        <f t="shared" si="10"/>
        <v>-2539.3517661836595</v>
      </c>
      <c r="K29" s="3">
        <f t="shared" si="0"/>
        <v>-36.976453802624292</v>
      </c>
      <c r="L29" s="3">
        <f t="shared" si="11"/>
        <v>-2588.3517661837004</v>
      </c>
      <c r="M29" s="3">
        <f t="shared" si="1"/>
        <v>2.3919690365358286</v>
      </c>
      <c r="N29" s="3">
        <f t="shared" si="2"/>
        <v>1.8530995498457397</v>
      </c>
    </row>
    <row r="30" spans="1:14" x14ac:dyDescent="0.2">
      <c r="A30">
        <v>27</v>
      </c>
      <c r="B30">
        <v>84</v>
      </c>
      <c r="C30">
        <f t="shared" si="3"/>
        <v>1.8530995498457397</v>
      </c>
      <c r="D30">
        <f t="shared" si="4"/>
        <v>2.3919690365358286</v>
      </c>
      <c r="E30">
        <f t="shared" si="5"/>
        <v>66.436263536313106</v>
      </c>
      <c r="F30" s="1">
        <f t="shared" si="6"/>
        <v>308.4848385658446</v>
      </c>
      <c r="G30" s="3">
        <f t="shared" si="7"/>
        <v>308.13366383657069</v>
      </c>
      <c r="H30" s="3">
        <f t="shared" si="8"/>
        <v>-35.117472927390736</v>
      </c>
      <c r="I30" s="3">
        <f t="shared" si="9"/>
        <v>299.07332087545382</v>
      </c>
      <c r="J30" s="3">
        <f t="shared" si="10"/>
        <v>-941.15176903907809</v>
      </c>
      <c r="K30" s="3">
        <f t="shared" si="0"/>
        <v>-35.127472927373788</v>
      </c>
      <c r="L30" s="3">
        <f t="shared" si="11"/>
        <v>-948.44176903909226</v>
      </c>
      <c r="M30" s="3">
        <f t="shared" si="1"/>
        <v>2.4860842134397365</v>
      </c>
      <c r="N30" s="3">
        <f t="shared" si="2"/>
        <v>1.8566112971384787</v>
      </c>
    </row>
    <row r="31" spans="1:14" x14ac:dyDescent="0.2">
      <c r="A31">
        <v>17</v>
      </c>
      <c r="B31">
        <v>64</v>
      </c>
      <c r="C31">
        <f t="shared" si="3"/>
        <v>1.8566112971384787</v>
      </c>
      <c r="D31">
        <f t="shared" si="4"/>
        <v>2.4860842134397365</v>
      </c>
      <c r="E31">
        <f t="shared" si="5"/>
        <v>44.120042925614001</v>
      </c>
      <c r="F31" s="1">
        <f t="shared" si="6"/>
        <v>395.21269327942991</v>
      </c>
      <c r="G31" s="3">
        <f t="shared" si="7"/>
        <v>394.81519413794229</v>
      </c>
      <c r="H31" s="3">
        <f t="shared" si="8"/>
        <v>-39.749914148762855</v>
      </c>
      <c r="I31" s="3">
        <f t="shared" si="9"/>
        <v>388.48240787413891</v>
      </c>
      <c r="J31" s="3">
        <f t="shared" si="10"/>
        <v>-673.02854052909993</v>
      </c>
      <c r="K31" s="3">
        <f t="shared" si="0"/>
        <v>-39.759914148771998</v>
      </c>
      <c r="L31" s="3">
        <f t="shared" si="11"/>
        <v>-675.9185405291239</v>
      </c>
      <c r="M31" s="3">
        <f t="shared" si="1"/>
        <v>2.5533870674926464</v>
      </c>
      <c r="N31" s="3">
        <f t="shared" si="2"/>
        <v>1.8605862885533551</v>
      </c>
    </row>
    <row r="32" spans="1:14" x14ac:dyDescent="0.2">
      <c r="A32">
        <v>8</v>
      </c>
      <c r="B32">
        <v>46</v>
      </c>
      <c r="C32">
        <f t="shared" si="3"/>
        <v>1.8605862885533551</v>
      </c>
      <c r="D32">
        <f t="shared" si="4"/>
        <v>2.5533870674926464</v>
      </c>
      <c r="E32">
        <f t="shared" si="5"/>
        <v>22.287682828494525</v>
      </c>
      <c r="F32" s="1">
        <f t="shared" si="6"/>
        <v>562.2739856420734</v>
      </c>
      <c r="G32" s="3">
        <f t="shared" si="7"/>
        <v>561.79983929864329</v>
      </c>
      <c r="H32" s="3">
        <f t="shared" si="8"/>
        <v>-47.414634343010675</v>
      </c>
      <c r="I32" s="3">
        <f t="shared" si="9"/>
        <v>558.48641489463262</v>
      </c>
      <c r="J32" s="3">
        <f t="shared" si="10"/>
        <v>-378.75707474407818</v>
      </c>
      <c r="K32" s="3">
        <f t="shared" si="0"/>
        <v>-47.42463434301095</v>
      </c>
      <c r="L32" s="3">
        <f t="shared" si="11"/>
        <v>-379.3970747440876</v>
      </c>
      <c r="M32" s="3">
        <f t="shared" si="1"/>
        <v>2.591262774967054</v>
      </c>
      <c r="N32" s="3">
        <f t="shared" si="2"/>
        <v>1.8653277519876561</v>
      </c>
    </row>
    <row r="33" spans="3:12" x14ac:dyDescent="0.2">
      <c r="E33" t="s">
        <v>2</v>
      </c>
      <c r="F33" s="1">
        <f>SQRT(SUM(F4:F32))</f>
        <v>102.07950840035681</v>
      </c>
      <c r="K33" s="3">
        <f>SQRT(SUMSQ(K4:K32))</f>
        <v>204.15901680071363</v>
      </c>
      <c r="L33" s="3">
        <f>SQRT(SUMSQ(L4:L32))</f>
        <v>10222.770254574072</v>
      </c>
    </row>
    <row r="36" spans="3:12" x14ac:dyDescent="0.2">
      <c r="C36" t="s">
        <v>20</v>
      </c>
    </row>
    <row r="37" spans="3:12" x14ac:dyDescent="0.2">
      <c r="C37" t="s">
        <v>2</v>
      </c>
    </row>
    <row r="39" spans="3:12" x14ac:dyDescent="0.2">
      <c r="C39">
        <v>104.76057412808883</v>
      </c>
    </row>
    <row r="40" spans="3:12" x14ac:dyDescent="0.2">
      <c r="C40">
        <v>104.56680613252718</v>
      </c>
    </row>
    <row r="41" spans="3:12" x14ac:dyDescent="0.2">
      <c r="C41">
        <v>104.37338949563905</v>
      </c>
    </row>
    <row r="42" spans="3:12" x14ac:dyDescent="0.2">
      <c r="C42">
        <v>104.18032284321687</v>
      </c>
    </row>
    <row r="43" spans="3:12" x14ac:dyDescent="0.2">
      <c r="C43">
        <v>103.98760554219196</v>
      </c>
    </row>
    <row r="44" spans="3:12" x14ac:dyDescent="0.2">
      <c r="C44">
        <v>103.79523696064258</v>
      </c>
    </row>
    <row r="45" spans="3:12" x14ac:dyDescent="0.2">
      <c r="C45">
        <v>103.60321646778945</v>
      </c>
    </row>
    <row r="46" spans="3:12" x14ac:dyDescent="0.2">
      <c r="C46">
        <v>103.41154343399799</v>
      </c>
    </row>
    <row r="47" spans="3:12" x14ac:dyDescent="0.2">
      <c r="C47">
        <v>103.22021723076747</v>
      </c>
    </row>
    <row r="48" spans="3:12" x14ac:dyDescent="0.2">
      <c r="C48">
        <v>103.02923723073833</v>
      </c>
    </row>
    <row r="49" spans="3:3" x14ac:dyDescent="0.2">
      <c r="C49">
        <v>102.8386028076869</v>
      </c>
    </row>
    <row r="50" spans="3:3" x14ac:dyDescent="0.2">
      <c r="C50">
        <v>102.64831333651851</v>
      </c>
    </row>
    <row r="51" spans="3:3" x14ac:dyDescent="0.2">
      <c r="C51">
        <v>102.45836819327512</v>
      </c>
    </row>
    <row r="52" spans="3:3" x14ac:dyDescent="0.2">
      <c r="C52">
        <v>102.26876675512219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basic2.somesteps">
                <anchor moveWithCells="1">
                  <from>
                    <xdr:col>0</xdr:col>
                    <xdr:colOff>0</xdr:colOff>
                    <xdr:row>1</xdr:row>
                    <xdr:rowOff>12700</xdr:rowOff>
                  </from>
                  <to>
                    <xdr:col>0</xdr:col>
                    <xdr:colOff>508000</xdr:colOff>
                    <xdr:row>2</xdr:row>
                    <xdr:rowOff>0</xdr:rowOff>
                  </to>
                </anchor>
              </controlPr>
            </control>
          </mc:Choice>
        </mc:AlternateContent>
        <mc:AlternateContent xmlns:mc="http://schemas.openxmlformats.org/markup-compatibility/2006">
          <mc:Choice Requires="x14">
            <control shapeId="68610" r:id="rId5" name="Button 2">
              <controlPr defaultSize="0" print="0" autoFill="0" autoPict="0" macro="[0]!basic2.reset">
                <anchor moveWithCells="1">
                  <from>
                    <xdr:col>0</xdr:col>
                    <xdr:colOff>0</xdr:colOff>
                    <xdr:row>0</xdr:row>
                    <xdr:rowOff>25400</xdr:rowOff>
                  </from>
                  <to>
                    <xdr:col>0</xdr:col>
                    <xdr:colOff>508000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41321-6A56-7E42-96FC-C780566D2AC9}">
  <sheetPr codeName="basic1"/>
  <dimension ref="A1:W40"/>
  <sheetViews>
    <sheetView tabSelected="1" zoomScale="80" zoomScaleNormal="80" workbookViewId="0">
      <pane ySplit="6" topLeftCell="A7" activePane="bottomLeft" state="frozen"/>
      <selection pane="bottomLeft" activeCell="Q3" sqref="Q3"/>
    </sheetView>
  </sheetViews>
  <sheetFormatPr baseColWidth="10" defaultColWidth="8.83203125" defaultRowHeight="15" x14ac:dyDescent="0.2"/>
  <cols>
    <col min="1" max="1" width="7" customWidth="1"/>
    <col min="2" max="2" width="11.33203125" customWidth="1"/>
    <col min="3" max="3" width="9.6640625" customWidth="1"/>
    <col min="4" max="4" width="7" customWidth="1"/>
    <col min="5" max="5" width="9.1640625" bestFit="1" customWidth="1"/>
    <col min="6" max="6" width="12.5" bestFit="1" customWidth="1"/>
    <col min="7" max="7" width="8.1640625" customWidth="1"/>
    <col min="8" max="8" width="32.83203125" customWidth="1"/>
    <col min="9" max="9" width="22.5" customWidth="1"/>
    <col min="10" max="10" width="7.6640625" customWidth="1"/>
    <col min="11" max="11" width="21.6640625" customWidth="1"/>
    <col min="12" max="12" width="9.5" customWidth="1"/>
    <col min="13" max="13" width="22" customWidth="1"/>
    <col min="14" max="14" width="11.83203125" bestFit="1" customWidth="1"/>
    <col min="15" max="15" width="22.83203125" customWidth="1"/>
    <col min="16" max="16" width="13.1640625" bestFit="1" customWidth="1"/>
    <col min="17" max="17" width="8.6640625" customWidth="1"/>
    <col min="18" max="18" width="7.5" customWidth="1"/>
    <col min="19" max="19" width="9" customWidth="1"/>
    <col min="20" max="20" width="8.5" customWidth="1"/>
    <col min="22" max="22" width="89.33203125" bestFit="1" customWidth="1"/>
    <col min="23" max="23" width="91.5" bestFit="1" customWidth="1"/>
  </cols>
  <sheetData>
    <row r="1" spans="1:23" ht="17.5" customHeight="1" x14ac:dyDescent="0.2">
      <c r="B1" t="s">
        <v>19</v>
      </c>
      <c r="C1">
        <v>1</v>
      </c>
      <c r="D1">
        <v>1</v>
      </c>
      <c r="G1" t="s">
        <v>14</v>
      </c>
      <c r="H1">
        <v>1E-4</v>
      </c>
      <c r="W1" t="s">
        <v>4</v>
      </c>
    </row>
    <row r="2" spans="1:23" ht="17.5" customHeight="1" x14ac:dyDescent="0.2">
      <c r="B2" t="s">
        <v>0</v>
      </c>
      <c r="C2">
        <v>1</v>
      </c>
      <c r="D2">
        <v>1</v>
      </c>
      <c r="V2" t="s">
        <v>5</v>
      </c>
    </row>
    <row r="3" spans="1:23" ht="17.5" customHeight="1" x14ac:dyDescent="0.2"/>
    <row r="4" spans="1:23" ht="17.5" customHeight="1" x14ac:dyDescent="0.2"/>
    <row r="5" spans="1:23" ht="17.5" customHeight="1" x14ac:dyDescent="0.2">
      <c r="B5" t="s">
        <v>83</v>
      </c>
      <c r="H5" t="s">
        <v>87</v>
      </c>
      <c r="I5" t="s">
        <v>88</v>
      </c>
      <c r="K5" t="s">
        <v>89</v>
      </c>
      <c r="M5" t="s">
        <v>90</v>
      </c>
      <c r="O5" t="s">
        <v>91</v>
      </c>
    </row>
    <row r="6" spans="1:23" s="2" customFormat="1" x14ac:dyDescent="0.2">
      <c r="A6" s="2" t="s">
        <v>15</v>
      </c>
      <c r="B6" s="2" t="s">
        <v>16</v>
      </c>
      <c r="C6" s="2" t="s">
        <v>84</v>
      </c>
      <c r="D6" s="2" t="s">
        <v>72</v>
      </c>
      <c r="E6" s="2" t="s">
        <v>85</v>
      </c>
      <c r="F6" s="2" t="s">
        <v>86</v>
      </c>
      <c r="G6" s="2" t="s">
        <v>17</v>
      </c>
      <c r="H6" s="2" t="s">
        <v>1</v>
      </c>
      <c r="I6" s="2" t="s">
        <v>7</v>
      </c>
      <c r="J6" s="2" t="s">
        <v>10</v>
      </c>
      <c r="K6" s="2" t="s">
        <v>8</v>
      </c>
      <c r="L6" s="2" t="s">
        <v>11</v>
      </c>
      <c r="M6" s="2" t="s">
        <v>74</v>
      </c>
      <c r="N6" s="2" t="s">
        <v>75</v>
      </c>
      <c r="O6" s="2" t="s">
        <v>76</v>
      </c>
      <c r="P6" s="2" t="s">
        <v>77</v>
      </c>
      <c r="Q6" s="2" t="s">
        <v>12</v>
      </c>
      <c r="R6" s="2" t="s">
        <v>13</v>
      </c>
      <c r="S6" s="2" t="s">
        <v>78</v>
      </c>
      <c r="T6" s="2" t="s">
        <v>79</v>
      </c>
      <c r="V6" s="2" t="s">
        <v>6</v>
      </c>
      <c r="W6" s="2" t="s">
        <v>9</v>
      </c>
    </row>
    <row r="7" spans="1:23" x14ac:dyDescent="0.2">
      <c r="A7">
        <v>15</v>
      </c>
      <c r="B7">
        <v>190</v>
      </c>
      <c r="C7">
        <f>C1</f>
        <v>1</v>
      </c>
      <c r="D7">
        <f>C2</f>
        <v>1</v>
      </c>
      <c r="E7">
        <f>const2</f>
        <v>1</v>
      </c>
      <c r="F7">
        <f>slope2</f>
        <v>1</v>
      </c>
      <c r="G7">
        <f>(D7*A7+C7)*F7+E7</f>
        <v>17</v>
      </c>
      <c r="H7" s="1">
        <f>(B7-G7)^2</f>
        <v>29929</v>
      </c>
      <c r="I7" s="3">
        <f>((D7*A7+(C7+0.01))*F7+E7-B7)^2</f>
        <v>29925.540100000002</v>
      </c>
      <c r="J7" s="3">
        <f>(I7-H7)/0.01</f>
        <v>-345.98999999980151</v>
      </c>
      <c r="K7" s="3">
        <f>(((D7+0.01)*A7+C7)*F7+E7-B7)^2</f>
        <v>29877.122499999998</v>
      </c>
      <c r="L7" s="3">
        <f>(K7-H7)/0.01</f>
        <v>-5187.7500000002328</v>
      </c>
      <c r="M7">
        <f>((D7*A7+C7)*F7+(E7+0.01)-B7)^2</f>
        <v>29925.540100000002</v>
      </c>
      <c r="N7">
        <f>(M7-H7)/0.01</f>
        <v>-345.98999999980151</v>
      </c>
      <c r="O7">
        <f>((D7*A7+C7)*(F7+0.01)+E7-B7)^2</f>
        <v>29873.6656</v>
      </c>
      <c r="P7">
        <f>(O7-H7)/0.01</f>
        <v>-5533.4399999999732</v>
      </c>
      <c r="Q7" s="3">
        <f>D7-L7*$H$1</f>
        <v>1.5187750000000233</v>
      </c>
      <c r="R7" s="3">
        <f>C7-J7*$H$1</f>
        <v>1.0345989999999801</v>
      </c>
      <c r="S7">
        <f>F7-P7*$H$1</f>
        <v>1.5533439999999974</v>
      </c>
      <c r="T7">
        <f>E7-N7*$H$1</f>
        <v>1.0345989999999801</v>
      </c>
      <c r="V7" s="3">
        <f>2*(G7-B7)</f>
        <v>-346</v>
      </c>
      <c r="W7" s="3">
        <f>V7*A7</f>
        <v>-5190</v>
      </c>
    </row>
    <row r="8" spans="1:23" x14ac:dyDescent="0.2">
      <c r="A8">
        <v>100</v>
      </c>
      <c r="B8">
        <v>700</v>
      </c>
      <c r="C8" s="3">
        <f>R7</f>
        <v>1.0345989999999801</v>
      </c>
      <c r="D8">
        <f>Q7</f>
        <v>1.5187750000000233</v>
      </c>
      <c r="E8">
        <f>T7</f>
        <v>1.0345989999999801</v>
      </c>
      <c r="F8">
        <f>S7</f>
        <v>1.5533439999999974</v>
      </c>
      <c r="G8">
        <f>(D8*A8+C8)*F8+E8</f>
        <v>238.55969050905918</v>
      </c>
      <c r="H8" s="1">
        <f>(B8-G8)^2</f>
        <v>212927.15922309525</v>
      </c>
      <c r="I8" s="3">
        <f>((D8*A8+(C8+0.01))*F8+E8-B8)^2</f>
        <v>212912.82395366093</v>
      </c>
      <c r="J8" s="3">
        <f>(I8-H8)/0.01</f>
        <v>-1433.5269434319343</v>
      </c>
      <c r="K8" s="3">
        <f>(((D8+0.01)*A8+C8)*F8+E8-B8)^2</f>
        <v>211496.0210284658</v>
      </c>
      <c r="L8" s="3">
        <f>(K8-H8)/0.01</f>
        <v>-143113.81946294568</v>
      </c>
      <c r="M8">
        <f>((D8*A8+C8)*F8+(E8+0.01)-B8)^2</f>
        <v>212917.93051690544</v>
      </c>
      <c r="N8">
        <f>(M8-H8)/0.01</f>
        <v>-922.87061898095999</v>
      </c>
      <c r="O8">
        <f>((D8*A8+C8)*(F8+0.01)+E8-B8)^2</f>
        <v>211518.3013083479</v>
      </c>
      <c r="P8">
        <f>(O8-H8)/0.01</f>
        <v>-140885.79147473502</v>
      </c>
      <c r="Q8" s="3">
        <f>D8-L8*$H$1</f>
        <v>15.830156946294592</v>
      </c>
      <c r="R8" s="3">
        <f>C8-J8*$H$1</f>
        <v>1.1779516943431736</v>
      </c>
      <c r="S8">
        <f>F8-P8*$H$1</f>
        <v>15.6419231474735</v>
      </c>
      <c r="T8">
        <f>E8-N8*$H$1</f>
        <v>1.1268860618980761</v>
      </c>
      <c r="V8" s="3">
        <f>2*(G8-B8)</f>
        <v>-922.88061898188164</v>
      </c>
      <c r="W8" s="3">
        <f>V8*A8</f>
        <v>-92288.061898188171</v>
      </c>
    </row>
    <row r="9" spans="1:23" x14ac:dyDescent="0.2">
      <c r="A9">
        <v>92</v>
      </c>
      <c r="B9">
        <v>652</v>
      </c>
      <c r="C9" s="3">
        <f t="shared" ref="C9:C10" si="0">R8</f>
        <v>1.1779516943431736</v>
      </c>
      <c r="D9">
        <f t="shared" ref="D9:D10" si="1">Q8</f>
        <v>15.830156946294592</v>
      </c>
      <c r="E9">
        <f t="shared" ref="E9:E10" si="2">T8</f>
        <v>1.1268860618980761</v>
      </c>
      <c r="F9">
        <f t="shared" ref="F9:F10" si="3">S8</f>
        <v>15.6419231474735</v>
      </c>
      <c r="G9">
        <f t="shared" ref="G9:G10" si="4">(D9*A9+C9)*F9+E9</f>
        <v>22800.049365643561</v>
      </c>
      <c r="H9" s="1">
        <f t="shared" ref="H9:H10" si="5">(B9-G9)^2</f>
        <v>490536090.70298415</v>
      </c>
      <c r="I9" s="3">
        <f t="shared" ref="I9:I10" si="6">((D9*A9+(C9+0.01))*F9+E9-B9)^2</f>
        <v>490543019.48917204</v>
      </c>
      <c r="J9" s="3">
        <f t="shared" ref="J9:J10" si="7">(I9-H9)/0.01</f>
        <v>692878.61878871918</v>
      </c>
      <c r="K9" s="3">
        <f t="shared" ref="K9:K10" si="8">(((D9+0.01)*A9+C9)*F9+E9-B9)^2</f>
        <v>491173743.8697893</v>
      </c>
      <c r="L9" s="3">
        <f t="shared" ref="L9:L10" si="9">(K9-H9)/0.01</f>
        <v>63765316.680514812</v>
      </c>
      <c r="M9">
        <f t="shared" ref="M9:M10" si="10">((D9*A9+C9)*F9+(E9+0.01)-B9)^2</f>
        <v>490536533.66407138</v>
      </c>
      <c r="N9">
        <f t="shared" ref="N9:N10" si="11">(M9-H9)/0.01</f>
        <v>44296.108722686768</v>
      </c>
      <c r="O9">
        <f t="shared" ref="O9:O10" si="12">((D9*A9+C9)*(F9+0.01)+E9-B9)^2</f>
        <v>491181941.99494964</v>
      </c>
      <c r="P9">
        <f t="shared" ref="P9:P10" si="13">(O9-H9)/0.01</f>
        <v>64585129.196548462</v>
      </c>
      <c r="Q9" s="3">
        <f t="shared" ref="Q9:Q10" si="14">D9-L9*$H$1</f>
        <v>-6360.7015111051869</v>
      </c>
      <c r="R9" s="3">
        <f t="shared" ref="R9:R10" si="15">C9-J9*$H$1</f>
        <v>-68.109910184528744</v>
      </c>
      <c r="S9">
        <f t="shared" ref="S9:S10" si="16">F9-P9*$H$1</f>
        <v>-6442.8709965073731</v>
      </c>
      <c r="T9">
        <f t="shared" ref="T9:T10" si="17">E9-N9*$H$1</f>
        <v>-3.3027248103706013</v>
      </c>
      <c r="V9" s="3">
        <f>2*(G9-B9)</f>
        <v>44296.098731287122</v>
      </c>
      <c r="W9" s="3">
        <f>V9*A9</f>
        <v>4075241.0832784153</v>
      </c>
    </row>
    <row r="10" spans="1:23" x14ac:dyDescent="0.2">
      <c r="A10">
        <v>49</v>
      </c>
      <c r="B10">
        <v>394</v>
      </c>
      <c r="C10" s="3">
        <f t="shared" si="0"/>
        <v>-68.109910184528744</v>
      </c>
      <c r="D10">
        <f t="shared" si="1"/>
        <v>-6360.7015111051869</v>
      </c>
      <c r="E10">
        <f t="shared" si="2"/>
        <v>-3.3027248103706013</v>
      </c>
      <c r="F10">
        <f t="shared" si="3"/>
        <v>-6442.8709965073731</v>
      </c>
      <c r="G10">
        <f t="shared" si="4"/>
        <v>2008516604.9458487</v>
      </c>
      <c r="H10" s="1">
        <f t="shared" si="5"/>
        <v>4.0341373696322688E+18</v>
      </c>
      <c r="I10" s="3">
        <f t="shared" si="6"/>
        <v>4.0341371108200561E+18</v>
      </c>
      <c r="J10" s="3">
        <f t="shared" si="7"/>
        <v>-25881221273600</v>
      </c>
      <c r="K10" s="3">
        <f t="shared" si="8"/>
        <v>4.0341246878436111E+18</v>
      </c>
      <c r="L10" s="3">
        <f t="shared" si="9"/>
        <v>-1268178865766400</v>
      </c>
      <c r="M10">
        <f t="shared" si="10"/>
        <v>4.0341373696724393E+18</v>
      </c>
      <c r="N10">
        <f t="shared" si="11"/>
        <v>4017049600</v>
      </c>
      <c r="O10">
        <f t="shared" si="12"/>
        <v>4.0341248468453345E+18</v>
      </c>
      <c r="P10">
        <f t="shared" si="13"/>
        <v>-1252278693427200</v>
      </c>
      <c r="Q10" s="3">
        <f t="shared" si="14"/>
        <v>126817880215.93849</v>
      </c>
      <c r="R10" s="3">
        <f t="shared" si="15"/>
        <v>2588122059.2500901</v>
      </c>
      <c r="S10">
        <f t="shared" si="16"/>
        <v>125227862899.849</v>
      </c>
      <c r="T10">
        <f t="shared" si="17"/>
        <v>-401708.2627248104</v>
      </c>
      <c r="V10" s="3">
        <f>2*(G10-B10)</f>
        <v>4017032421.8916974</v>
      </c>
      <c r="W10" s="3">
        <f>V10*A10</f>
        <v>196834588672.69318</v>
      </c>
    </row>
    <row r="11" spans="1:23" x14ac:dyDescent="0.2">
      <c r="A11">
        <v>99</v>
      </c>
      <c r="B11">
        <v>694</v>
      </c>
      <c r="C11" s="3">
        <f t="shared" ref="C11:C13" si="18">R10</f>
        <v>2588122059.2500901</v>
      </c>
      <c r="D11">
        <f t="shared" ref="D11:D13" si="19">Q10</f>
        <v>126817880215.93849</v>
      </c>
      <c r="E11">
        <f t="shared" ref="E11:E13" si="20">T10</f>
        <v>-401708.2627248104</v>
      </c>
      <c r="F11">
        <f t="shared" ref="F11:F13" si="21">S10</f>
        <v>125227862899.849</v>
      </c>
      <c r="G11">
        <f t="shared" ref="G11:G13" si="22">(D11*A11+C11)*F11+E11</f>
        <v>1.5725561845705747E+24</v>
      </c>
      <c r="H11" s="1">
        <f t="shared" ref="H11:H13" si="23">(B11-G11)^2</f>
        <v>2.4729329536311634E+48</v>
      </c>
      <c r="I11" s="3">
        <f t="shared" ref="I11:I13" si="24">((D11*A11+(C11+0.01))*F11+E11-B11)^2</f>
        <v>2.4729329536311666E+48</v>
      </c>
      <c r="J11" s="3">
        <f t="shared" ref="J11:J13" si="25">(I11-H11)/0.01</f>
        <v>3.2451855365842673E+35</v>
      </c>
      <c r="K11" s="3">
        <f t="shared" ref="K11:K13" si="26">(((D11+0.01)*A11+C11)*F11+E11-B11)^2</f>
        <v>2.4729329536315534E+48</v>
      </c>
      <c r="L11" s="3">
        <f t="shared" ref="L11:L13" si="27">(K11-H11)/0.01</f>
        <v>3.9007130149742893E+37</v>
      </c>
      <c r="M11">
        <f t="shared" ref="M11:M13" si="28">((D11*A11+C11)*F11+(E11+0.01)-B11)^2</f>
        <v>2.4729329536311634E+48</v>
      </c>
      <c r="N11">
        <f t="shared" ref="N11:N13" si="29">(M11-H11)/0.01</f>
        <v>0</v>
      </c>
      <c r="O11">
        <f t="shared" ref="O11:O13" si="30">((D11*A11+C11)*(F11+0.01)+E11-B11)^2</f>
        <v>2.4729329536315577E+48</v>
      </c>
      <c r="P11">
        <f t="shared" ref="P11:P13" si="31">(O11-H11)/0.01</f>
        <v>3.9429004269498847E+37</v>
      </c>
      <c r="Q11" s="3">
        <f t="shared" ref="Q11:Q13" si="32">D11-L11*$H$1</f>
        <v>-3.9007130149742897E+33</v>
      </c>
      <c r="R11" s="3">
        <f t="shared" ref="R11:R13" si="33">C11-J11*$H$1</f>
        <v>-3.2451855365842674E+31</v>
      </c>
      <c r="S11">
        <f t="shared" ref="S11:S13" si="34">F11-P11*$H$1</f>
        <v>-3.9429004269498848E+33</v>
      </c>
      <c r="T11">
        <f t="shared" ref="T11:T13" si="35">E11-N11*$H$1</f>
        <v>-401708.2627248104</v>
      </c>
      <c r="V11" s="3">
        <f>2*(G11-B11)</f>
        <v>3.1451123691411494E+24</v>
      </c>
      <c r="W11" s="3">
        <f>V11*A11</f>
        <v>3.113661245449738E+26</v>
      </c>
    </row>
    <row r="12" spans="1:23" x14ac:dyDescent="0.2">
      <c r="A12">
        <v>71</v>
      </c>
      <c r="B12">
        <v>526</v>
      </c>
      <c r="C12" s="3">
        <f t="shared" si="18"/>
        <v>-3.2451855365842674E+31</v>
      </c>
      <c r="D12">
        <f t="shared" si="19"/>
        <v>-3.9007130149742897E+33</v>
      </c>
      <c r="E12">
        <f t="shared" si="20"/>
        <v>-401708.2627248104</v>
      </c>
      <c r="F12">
        <f t="shared" si="21"/>
        <v>-3.9429004269498848E+33</v>
      </c>
      <c r="G12">
        <f t="shared" si="22"/>
        <v>1.0921166882971054E+69</v>
      </c>
      <c r="H12" s="1">
        <f t="shared" si="23"/>
        <v>1.1927188608570368E+138</v>
      </c>
      <c r="I12" s="3">
        <f t="shared" si="24"/>
        <v>1.1927188608570368E+138</v>
      </c>
      <c r="J12" s="3">
        <f t="shared" si="25"/>
        <v>0</v>
      </c>
      <c r="K12" s="3">
        <f t="shared" si="26"/>
        <v>1.1927188608570368E+138</v>
      </c>
      <c r="L12" s="3">
        <f t="shared" si="27"/>
        <v>0</v>
      </c>
      <c r="M12">
        <f t="shared" si="28"/>
        <v>1.1927188608570368E+138</v>
      </c>
      <c r="N12">
        <f t="shared" si="29"/>
        <v>0</v>
      </c>
      <c r="O12">
        <f t="shared" si="30"/>
        <v>1.1927188608570368E+138</v>
      </c>
      <c r="P12">
        <f t="shared" si="31"/>
        <v>0</v>
      </c>
      <c r="Q12" s="3">
        <f t="shared" si="32"/>
        <v>-3.9007130149742897E+33</v>
      </c>
      <c r="R12" s="3">
        <f t="shared" si="33"/>
        <v>-3.2451855365842674E+31</v>
      </c>
      <c r="S12">
        <f t="shared" si="34"/>
        <v>-3.9429004269498848E+33</v>
      </c>
      <c r="T12">
        <f t="shared" si="35"/>
        <v>-401708.2627248104</v>
      </c>
      <c r="V12" s="3">
        <f>2*(G12-B12)</f>
        <v>2.1842333765942108E+69</v>
      </c>
      <c r="W12" s="3">
        <f>V12*A12</f>
        <v>1.5508056973818897E+71</v>
      </c>
    </row>
    <row r="13" spans="1:23" x14ac:dyDescent="0.2">
      <c r="A13">
        <v>21</v>
      </c>
      <c r="B13">
        <v>226</v>
      </c>
      <c r="C13" s="3">
        <f t="shared" si="18"/>
        <v>-3.2451855365842674E+31</v>
      </c>
      <c r="D13">
        <f t="shared" si="19"/>
        <v>-3.9007130149742897E+33</v>
      </c>
      <c r="E13">
        <f t="shared" si="20"/>
        <v>-401708.2627248104</v>
      </c>
      <c r="F13">
        <f t="shared" si="21"/>
        <v>-3.9429004269498848E+33</v>
      </c>
      <c r="G13">
        <f t="shared" si="22"/>
        <v>3.2311053768955038E+68</v>
      </c>
      <c r="H13" s="1">
        <f t="shared" si="23"/>
        <v>1.0440041956603036E+137</v>
      </c>
      <c r="I13" s="3">
        <f t="shared" si="24"/>
        <v>1.0440041956603036E+137</v>
      </c>
      <c r="J13" s="3">
        <f t="shared" si="25"/>
        <v>0</v>
      </c>
      <c r="K13" s="3">
        <f t="shared" si="26"/>
        <v>1.0440041956603036E+137</v>
      </c>
      <c r="L13" s="3">
        <f t="shared" si="27"/>
        <v>0</v>
      </c>
      <c r="M13">
        <f t="shared" si="28"/>
        <v>1.0440041956603036E+137</v>
      </c>
      <c r="N13">
        <f t="shared" si="29"/>
        <v>0</v>
      </c>
      <c r="O13">
        <f t="shared" si="30"/>
        <v>1.0440041956603036E+137</v>
      </c>
      <c r="P13">
        <f t="shared" si="31"/>
        <v>0</v>
      </c>
      <c r="Q13" s="3">
        <f t="shared" si="32"/>
        <v>-3.9007130149742897E+33</v>
      </c>
      <c r="R13" s="3">
        <f t="shared" si="33"/>
        <v>-3.2451855365842674E+31</v>
      </c>
      <c r="S13">
        <f t="shared" si="34"/>
        <v>-3.9429004269498848E+33</v>
      </c>
      <c r="T13">
        <f t="shared" si="35"/>
        <v>-401708.2627248104</v>
      </c>
      <c r="V13" s="3">
        <f>2*(G13-B13)</f>
        <v>6.4622107537910076E+68</v>
      </c>
      <c r="W13" s="3">
        <f>V13*A13</f>
        <v>1.3570642582961116E+70</v>
      </c>
    </row>
    <row r="14" spans="1:23" x14ac:dyDescent="0.2">
      <c r="A14">
        <v>6</v>
      </c>
      <c r="B14">
        <v>136</v>
      </c>
      <c r="C14" s="3">
        <f t="shared" ref="C14:C20" si="36">R13</f>
        <v>-3.2451855365842674E+31</v>
      </c>
      <c r="D14">
        <f t="shared" ref="D14:D20" si="37">Q13</f>
        <v>-3.9007130149742897E+33</v>
      </c>
      <c r="E14">
        <f t="shared" ref="E14:E20" si="38">T13</f>
        <v>-401708.2627248104</v>
      </c>
      <c r="F14">
        <f t="shared" ref="F14:F20" si="39">S13</f>
        <v>-3.9429004269498848E+33</v>
      </c>
      <c r="G14">
        <f t="shared" ref="G14:G20" si="40">(D14*A14+C14)*F14+E14</f>
        <v>9.2408692507283876E+67</v>
      </c>
      <c r="H14" s="1">
        <f t="shared" ref="H14:H20" si="41">(B14-G14)^2</f>
        <v>8.5393664509057434E+135</v>
      </c>
      <c r="I14" s="3">
        <f t="shared" ref="I14:I20" si="42">((D14*A14+(C14+0.01))*F14+E14-B14)^2</f>
        <v>8.5393664509057434E+135</v>
      </c>
      <c r="J14" s="3">
        <f t="shared" ref="J14:J20" si="43">(I14-H14)/0.01</f>
        <v>0</v>
      </c>
      <c r="K14" s="3">
        <f t="shared" ref="K14:K20" si="44">(((D14+0.01)*A14+C14)*F14+E14-B14)^2</f>
        <v>8.5393664509057434E+135</v>
      </c>
      <c r="L14" s="3">
        <f t="shared" ref="L14:L20" si="45">(K14-H14)/0.01</f>
        <v>0</v>
      </c>
      <c r="M14">
        <f t="shared" ref="M14:M20" si="46">((D14*A14+C14)*F14+(E14+0.01)-B14)^2</f>
        <v>8.5393664509057434E+135</v>
      </c>
      <c r="N14">
        <f t="shared" ref="N14:N20" si="47">(M14-H14)/0.01</f>
        <v>0</v>
      </c>
      <c r="O14">
        <f t="shared" ref="O14:O20" si="48">((D14*A14+C14)*(F14+0.01)+E14-B14)^2</f>
        <v>8.5393664509057434E+135</v>
      </c>
      <c r="P14">
        <f t="shared" ref="P14:P20" si="49">(O14-H14)/0.01</f>
        <v>0</v>
      </c>
      <c r="Q14" s="3">
        <f t="shared" ref="Q14:Q20" si="50">D14-L14*$H$1</f>
        <v>-3.9007130149742897E+33</v>
      </c>
      <c r="R14" s="3">
        <f t="shared" ref="R14:R20" si="51">C14-J14*$H$1</f>
        <v>-3.2451855365842674E+31</v>
      </c>
      <c r="S14">
        <f t="shared" ref="S14:S20" si="52">F14-P14*$H$1</f>
        <v>-3.9429004269498848E+33</v>
      </c>
      <c r="T14">
        <f t="shared" ref="T14:T20" si="53">E14-N14*$H$1</f>
        <v>-401708.2627248104</v>
      </c>
      <c r="V14" s="3">
        <f>2*(G14-B14)</f>
        <v>1.8481738501456775E+68</v>
      </c>
      <c r="W14" s="3">
        <f>V14*A14</f>
        <v>1.1089043100874065E+69</v>
      </c>
    </row>
    <row r="15" spans="1:23" x14ac:dyDescent="0.2">
      <c r="A15">
        <v>87</v>
      </c>
      <c r="B15">
        <v>622</v>
      </c>
      <c r="C15" s="3">
        <f>R14</f>
        <v>-3.2451855365842674E+31</v>
      </c>
      <c r="D15">
        <f>Q14</f>
        <v>-3.9007130149742897E+33</v>
      </c>
      <c r="E15">
        <f>T14</f>
        <v>-401708.2627248104</v>
      </c>
      <c r="F15">
        <f>S14</f>
        <v>-3.9429004269498848E+33</v>
      </c>
      <c r="G15">
        <f t="shared" si="40"/>
        <v>1.3381986564915228E+69</v>
      </c>
      <c r="H15" s="1">
        <f t="shared" si="41"/>
        <v>1.7907756442357165E+138</v>
      </c>
      <c r="I15" s="3">
        <f t="shared" si="42"/>
        <v>1.7907756442357165E+138</v>
      </c>
      <c r="J15" s="3">
        <f t="shared" si="43"/>
        <v>0</v>
      </c>
      <c r="K15" s="3">
        <f t="shared" si="44"/>
        <v>1.7907756442357165E+138</v>
      </c>
      <c r="L15" s="3">
        <f t="shared" si="45"/>
        <v>0</v>
      </c>
      <c r="M15">
        <f t="shared" si="46"/>
        <v>1.7907756442357165E+138</v>
      </c>
      <c r="N15">
        <f t="shared" si="47"/>
        <v>0</v>
      </c>
      <c r="O15">
        <f t="shared" si="48"/>
        <v>1.7907756442357165E+138</v>
      </c>
      <c r="P15">
        <f t="shared" si="49"/>
        <v>0</v>
      </c>
      <c r="Q15" s="3">
        <f t="shared" si="50"/>
        <v>-3.9007130149742897E+33</v>
      </c>
      <c r="R15" s="3">
        <f t="shared" si="51"/>
        <v>-3.2451855365842674E+31</v>
      </c>
      <c r="S15">
        <f t="shared" si="52"/>
        <v>-3.9429004269498848E+33</v>
      </c>
      <c r="T15">
        <f t="shared" si="53"/>
        <v>-401708.2627248104</v>
      </c>
      <c r="V15" s="3">
        <f>2*(G15-B15)</f>
        <v>2.6763973129830455E+69</v>
      </c>
      <c r="W15" s="3">
        <f>V15*A15</f>
        <v>2.3284656622952496E+71</v>
      </c>
    </row>
    <row r="16" spans="1:23" x14ac:dyDescent="0.2">
      <c r="A16">
        <v>100</v>
      </c>
      <c r="B16">
        <v>700</v>
      </c>
      <c r="C16" s="3">
        <f t="shared" si="36"/>
        <v>-3.2451855365842674E+31</v>
      </c>
      <c r="D16">
        <f t="shared" si="37"/>
        <v>-3.9007130149742897E+33</v>
      </c>
      <c r="E16">
        <f t="shared" si="38"/>
        <v>-401708.2627248104</v>
      </c>
      <c r="F16">
        <f t="shared" si="39"/>
        <v>-3.9429004269498848E+33</v>
      </c>
      <c r="G16">
        <f t="shared" si="40"/>
        <v>1.5381402556494871E+69</v>
      </c>
      <c r="H16" s="1">
        <f t="shared" si="41"/>
        <v>2.3658754460494696E+138</v>
      </c>
      <c r="I16" s="3">
        <f t="shared" si="42"/>
        <v>2.3658754460494696E+138</v>
      </c>
      <c r="J16" s="3">
        <f t="shared" si="43"/>
        <v>0</v>
      </c>
      <c r="K16" s="3">
        <f t="shared" si="44"/>
        <v>2.3658754460494696E+138</v>
      </c>
      <c r="L16" s="3">
        <f t="shared" si="45"/>
        <v>0</v>
      </c>
      <c r="M16">
        <f t="shared" si="46"/>
        <v>2.3658754460494696E+138</v>
      </c>
      <c r="N16">
        <f t="shared" si="47"/>
        <v>0</v>
      </c>
      <c r="O16">
        <f t="shared" si="48"/>
        <v>2.3658754460494696E+138</v>
      </c>
      <c r="P16">
        <f t="shared" si="49"/>
        <v>0</v>
      </c>
      <c r="Q16" s="3">
        <f t="shared" si="50"/>
        <v>-3.9007130149742897E+33</v>
      </c>
      <c r="R16" s="3">
        <f t="shared" si="51"/>
        <v>-3.2451855365842674E+31</v>
      </c>
      <c r="S16">
        <f t="shared" si="52"/>
        <v>-3.9429004269498848E+33</v>
      </c>
      <c r="T16">
        <f t="shared" si="53"/>
        <v>-401708.2627248104</v>
      </c>
      <c r="V16" s="3">
        <f>2*(G16-B16)</f>
        <v>3.0762805112989743E+69</v>
      </c>
      <c r="W16" s="3">
        <f>V16*A16</f>
        <v>3.0762805112989745E+71</v>
      </c>
    </row>
    <row r="17" spans="1:23" x14ac:dyDescent="0.2">
      <c r="A17">
        <v>15</v>
      </c>
      <c r="B17">
        <v>190</v>
      </c>
      <c r="C17" s="3">
        <f t="shared" si="36"/>
        <v>-3.2451855365842674E+31</v>
      </c>
      <c r="D17">
        <f t="shared" si="37"/>
        <v>-3.9007130149742897E+33</v>
      </c>
      <c r="E17">
        <f t="shared" si="38"/>
        <v>-401708.2627248104</v>
      </c>
      <c r="F17">
        <f t="shared" si="39"/>
        <v>-3.9429004269498848E+33</v>
      </c>
      <c r="G17">
        <f t="shared" si="40"/>
        <v>2.3082979961664377E+68</v>
      </c>
      <c r="H17" s="1">
        <f t="shared" si="41"/>
        <v>5.3282396391059915E+136</v>
      </c>
      <c r="I17" s="3">
        <f t="shared" si="42"/>
        <v>5.3282396391059915E+136</v>
      </c>
      <c r="J17" s="3">
        <f t="shared" si="43"/>
        <v>0</v>
      </c>
      <c r="K17" s="3">
        <f t="shared" si="44"/>
        <v>5.3282396391059915E+136</v>
      </c>
      <c r="L17" s="3">
        <f t="shared" si="45"/>
        <v>0</v>
      </c>
      <c r="M17">
        <f t="shared" si="46"/>
        <v>5.3282396391059915E+136</v>
      </c>
      <c r="N17">
        <f t="shared" si="47"/>
        <v>0</v>
      </c>
      <c r="O17">
        <f t="shared" si="48"/>
        <v>5.3282396391059915E+136</v>
      </c>
      <c r="P17">
        <f t="shared" si="49"/>
        <v>0</v>
      </c>
      <c r="Q17" s="3">
        <f t="shared" si="50"/>
        <v>-3.9007130149742897E+33</v>
      </c>
      <c r="R17" s="3">
        <f t="shared" si="51"/>
        <v>-3.2451855365842674E+31</v>
      </c>
      <c r="S17">
        <f t="shared" si="52"/>
        <v>-3.9429004269498848E+33</v>
      </c>
      <c r="T17">
        <f t="shared" si="53"/>
        <v>-401708.2627248104</v>
      </c>
      <c r="V17" s="3">
        <f>2*(G17-B17)</f>
        <v>4.6165959923328754E+68</v>
      </c>
      <c r="W17" s="3">
        <f>V17*A17</f>
        <v>6.924893988499313E+69</v>
      </c>
    </row>
    <row r="18" spans="1:23" x14ac:dyDescent="0.2">
      <c r="A18">
        <v>7</v>
      </c>
      <c r="B18">
        <v>142</v>
      </c>
      <c r="C18" s="3">
        <f t="shared" si="36"/>
        <v>-3.2451855365842674E+31</v>
      </c>
      <c r="D18">
        <f t="shared" si="37"/>
        <v>-3.9007130149742897E+33</v>
      </c>
      <c r="E18">
        <f t="shared" si="38"/>
        <v>-401708.2627248104</v>
      </c>
      <c r="F18">
        <f t="shared" si="39"/>
        <v>-3.9429004269498848E+33</v>
      </c>
      <c r="G18">
        <f t="shared" si="40"/>
        <v>1.07788815519435E+68</v>
      </c>
      <c r="H18" s="1">
        <f t="shared" si="41"/>
        <v>1.1618428751082791E+136</v>
      </c>
      <c r="I18" s="3">
        <f t="shared" si="42"/>
        <v>1.1618428751082791E+136</v>
      </c>
      <c r="J18" s="3">
        <f t="shared" si="43"/>
        <v>0</v>
      </c>
      <c r="K18" s="3">
        <f t="shared" si="44"/>
        <v>1.1618428751082791E+136</v>
      </c>
      <c r="L18" s="3">
        <f t="shared" si="45"/>
        <v>0</v>
      </c>
      <c r="M18">
        <f t="shared" si="46"/>
        <v>1.1618428751082791E+136</v>
      </c>
      <c r="N18">
        <f t="shared" si="47"/>
        <v>0</v>
      </c>
      <c r="O18">
        <f t="shared" si="48"/>
        <v>1.1618428751082791E+136</v>
      </c>
      <c r="P18">
        <f t="shared" si="49"/>
        <v>0</v>
      </c>
      <c r="Q18" s="3">
        <f t="shared" si="50"/>
        <v>-3.9007130149742897E+33</v>
      </c>
      <c r="R18" s="3">
        <f t="shared" si="51"/>
        <v>-3.2451855365842674E+31</v>
      </c>
      <c r="S18">
        <f t="shared" si="52"/>
        <v>-3.9429004269498848E+33</v>
      </c>
      <c r="T18">
        <f t="shared" si="53"/>
        <v>-401708.2627248104</v>
      </c>
      <c r="V18" s="3">
        <f>2*(G18-B18)</f>
        <v>2.1557763103887E+68</v>
      </c>
      <c r="W18" s="3">
        <f>V18*A18</f>
        <v>1.5090434172720899E+69</v>
      </c>
    </row>
    <row r="19" spans="1:23" x14ac:dyDescent="0.2">
      <c r="A19">
        <v>16</v>
      </c>
      <c r="B19">
        <v>196</v>
      </c>
      <c r="C19" s="3">
        <f t="shared" si="36"/>
        <v>-3.2451855365842674E+31</v>
      </c>
      <c r="D19">
        <f t="shared" si="37"/>
        <v>-3.9007130149742897E+33</v>
      </c>
      <c r="E19">
        <f t="shared" si="38"/>
        <v>-401708.2627248104</v>
      </c>
      <c r="F19">
        <f t="shared" si="39"/>
        <v>-3.9429004269498848E+33</v>
      </c>
      <c r="G19">
        <f t="shared" si="40"/>
        <v>2.4620992262879488E+68</v>
      </c>
      <c r="H19" s="1">
        <f t="shared" si="41"/>
        <v>6.0619326000877163E+136</v>
      </c>
      <c r="I19" s="3">
        <f t="shared" si="42"/>
        <v>6.0619326000877163E+136</v>
      </c>
      <c r="J19" s="3">
        <f t="shared" si="43"/>
        <v>0</v>
      </c>
      <c r="K19" s="3">
        <f t="shared" si="44"/>
        <v>6.0619326000877163E+136</v>
      </c>
      <c r="L19" s="3">
        <f t="shared" si="45"/>
        <v>0</v>
      </c>
      <c r="M19">
        <f t="shared" si="46"/>
        <v>6.0619326000877163E+136</v>
      </c>
      <c r="N19">
        <f t="shared" si="47"/>
        <v>0</v>
      </c>
      <c r="O19">
        <f t="shared" si="48"/>
        <v>6.0619326000877163E+136</v>
      </c>
      <c r="P19">
        <f t="shared" si="49"/>
        <v>0</v>
      </c>
      <c r="Q19" s="3">
        <f t="shared" si="50"/>
        <v>-3.9007130149742897E+33</v>
      </c>
      <c r="R19" s="3">
        <f t="shared" si="51"/>
        <v>-3.2451855365842674E+31</v>
      </c>
      <c r="S19">
        <f t="shared" si="52"/>
        <v>-3.9429004269498848E+33</v>
      </c>
      <c r="T19">
        <f t="shared" si="53"/>
        <v>-401708.2627248104</v>
      </c>
      <c r="V19" s="3">
        <f>2*(G19-B19)</f>
        <v>4.9241984525758976E+68</v>
      </c>
      <c r="W19" s="3">
        <f>V19*A19</f>
        <v>7.8787175241214361E+69</v>
      </c>
    </row>
    <row r="20" spans="1:23" x14ac:dyDescent="0.2">
      <c r="A20">
        <v>75</v>
      </c>
      <c r="B20">
        <v>550</v>
      </c>
      <c r="C20" s="3">
        <f t="shared" si="36"/>
        <v>-3.2451855365842674E+31</v>
      </c>
      <c r="D20">
        <f t="shared" si="37"/>
        <v>-3.9007130149742897E+33</v>
      </c>
      <c r="E20">
        <f t="shared" si="38"/>
        <v>-401708.2627248104</v>
      </c>
      <c r="F20">
        <f t="shared" si="39"/>
        <v>-3.9429004269498848E+33</v>
      </c>
      <c r="G20">
        <f t="shared" si="40"/>
        <v>1.1536371803457098E+69</v>
      </c>
      <c r="H20" s="1">
        <f t="shared" si="41"/>
        <v>1.3308787438759999E+138</v>
      </c>
      <c r="I20" s="3">
        <f t="shared" si="42"/>
        <v>1.3308787438759999E+138</v>
      </c>
      <c r="J20" s="3">
        <f t="shared" si="43"/>
        <v>0</v>
      </c>
      <c r="K20" s="3">
        <f t="shared" si="44"/>
        <v>1.3308787438759999E+138</v>
      </c>
      <c r="L20" s="3">
        <f t="shared" si="45"/>
        <v>0</v>
      </c>
      <c r="M20">
        <f t="shared" si="46"/>
        <v>1.3308787438759999E+138</v>
      </c>
      <c r="N20">
        <f t="shared" si="47"/>
        <v>0</v>
      </c>
      <c r="O20">
        <f t="shared" si="48"/>
        <v>1.3308787438759999E+138</v>
      </c>
      <c r="P20">
        <f t="shared" si="49"/>
        <v>0</v>
      </c>
      <c r="Q20" s="3">
        <f t="shared" si="50"/>
        <v>-3.9007130149742897E+33</v>
      </c>
      <c r="R20" s="3">
        <f t="shared" si="51"/>
        <v>-3.2451855365842674E+31</v>
      </c>
      <c r="S20">
        <f t="shared" si="52"/>
        <v>-3.9429004269498848E+33</v>
      </c>
      <c r="T20">
        <f t="shared" si="53"/>
        <v>-401708.2627248104</v>
      </c>
      <c r="V20" s="3">
        <f>2*(G20-B20)</f>
        <v>2.3072743606914197E+69</v>
      </c>
      <c r="W20" s="3">
        <f>V20*A20</f>
        <v>1.7304557705185649E+71</v>
      </c>
    </row>
    <row r="21" spans="1:23" x14ac:dyDescent="0.2">
      <c r="A21">
        <v>36</v>
      </c>
      <c r="B21">
        <v>316</v>
      </c>
      <c r="C21" s="3">
        <f t="shared" ref="C21:C35" si="54">R20</f>
        <v>-3.2451855365842674E+31</v>
      </c>
      <c r="D21">
        <f t="shared" ref="D21:D35" si="55">Q20</f>
        <v>-3.9007130149742897E+33</v>
      </c>
      <c r="E21">
        <f t="shared" ref="E21:E35" si="56">T20</f>
        <v>-401708.2627248104</v>
      </c>
      <c r="F21">
        <f t="shared" ref="F21:F35" si="57">S20</f>
        <v>-3.9429004269498848E+33</v>
      </c>
      <c r="G21">
        <f t="shared" ref="G21:G35" si="58">(D21*A21+C21)*F21+E21</f>
        <v>5.5381238287181688E+68</v>
      </c>
      <c r="H21" s="1">
        <f t="shared" ref="H21:H35" si="59">(B21-G21)^2</f>
        <v>3.0670815542215989E+137</v>
      </c>
      <c r="I21" s="3">
        <f t="shared" ref="I21:I35" si="60">((D21*A21+(C21+0.01))*F21+E21-B21)^2</f>
        <v>3.0670815542215989E+137</v>
      </c>
      <c r="J21" s="3">
        <f t="shared" ref="J21:J35" si="61">(I21-H21)/0.01</f>
        <v>0</v>
      </c>
      <c r="K21" s="3">
        <f t="shared" ref="K21:K35" si="62">(((D21+0.01)*A21+C21)*F21+E21-B21)^2</f>
        <v>3.0670815542215989E+137</v>
      </c>
      <c r="L21" s="3">
        <f t="shared" ref="L21:L35" si="63">(K21-H21)/0.01</f>
        <v>0</v>
      </c>
      <c r="M21">
        <f t="shared" ref="M21:M35" si="64">((D21*A21+C21)*F21+(E21+0.01)-B21)^2</f>
        <v>3.0670815542215989E+137</v>
      </c>
      <c r="N21">
        <f t="shared" ref="N21:N35" si="65">(M21-H21)/0.01</f>
        <v>0</v>
      </c>
      <c r="O21">
        <f t="shared" ref="O21:O35" si="66">((D21*A21+C21)*(F21+0.01)+E21-B21)^2</f>
        <v>3.0670815542215989E+137</v>
      </c>
      <c r="P21">
        <f t="shared" ref="P21:P35" si="67">(O21-H21)/0.01</f>
        <v>0</v>
      </c>
      <c r="Q21" s="3">
        <f t="shared" ref="Q21:Q35" si="68">D21-L21*$H$1</f>
        <v>-3.9007130149742897E+33</v>
      </c>
      <c r="R21" s="3">
        <f t="shared" ref="R21:R35" si="69">C21-J21*$H$1</f>
        <v>-3.2451855365842674E+31</v>
      </c>
      <c r="S21">
        <f t="shared" ref="S21:S35" si="70">F21-P21*$H$1</f>
        <v>-3.9429004269498848E+33</v>
      </c>
      <c r="T21">
        <f t="shared" ref="T21:T35" si="71">E21-N21*$H$1</f>
        <v>-401708.2627248104</v>
      </c>
      <c r="V21" s="3">
        <f>2*(G21-B21)</f>
        <v>1.1076247657436338E+69</v>
      </c>
      <c r="W21" s="3">
        <f>V21*A21</f>
        <v>3.9874491566770814E+70</v>
      </c>
    </row>
    <row r="22" spans="1:23" x14ac:dyDescent="0.2">
      <c r="A22">
        <v>67</v>
      </c>
      <c r="B22">
        <v>502</v>
      </c>
      <c r="C22" s="3">
        <f t="shared" si="54"/>
        <v>-3.2451855365842674E+31</v>
      </c>
      <c r="D22">
        <f t="shared" si="55"/>
        <v>-3.9007130149742897E+33</v>
      </c>
      <c r="E22">
        <f t="shared" si="56"/>
        <v>-401708.2627248104</v>
      </c>
      <c r="F22">
        <f t="shared" si="57"/>
        <v>-3.9429004269498848E+33</v>
      </c>
      <c r="G22">
        <f t="shared" si="58"/>
        <v>1.0305961962485011E+69</v>
      </c>
      <c r="H22" s="1">
        <f t="shared" si="59"/>
        <v>1.062128519721879E+138</v>
      </c>
      <c r="I22" s="3">
        <f t="shared" si="60"/>
        <v>1.062128519721879E+138</v>
      </c>
      <c r="J22" s="3">
        <f t="shared" si="61"/>
        <v>0</v>
      </c>
      <c r="K22" s="3">
        <f t="shared" si="62"/>
        <v>1.062128519721879E+138</v>
      </c>
      <c r="L22" s="3">
        <f t="shared" si="63"/>
        <v>0</v>
      </c>
      <c r="M22">
        <f t="shared" si="64"/>
        <v>1.062128519721879E+138</v>
      </c>
      <c r="N22">
        <f t="shared" si="65"/>
        <v>0</v>
      </c>
      <c r="O22">
        <f t="shared" si="66"/>
        <v>1.062128519721879E+138</v>
      </c>
      <c r="P22">
        <f t="shared" si="67"/>
        <v>0</v>
      </c>
      <c r="Q22" s="3">
        <f t="shared" si="68"/>
        <v>-3.9007130149742897E+33</v>
      </c>
      <c r="R22" s="3">
        <f t="shared" si="69"/>
        <v>-3.2451855365842674E+31</v>
      </c>
      <c r="S22">
        <f t="shared" si="70"/>
        <v>-3.9429004269498848E+33</v>
      </c>
      <c r="T22">
        <f t="shared" si="71"/>
        <v>-401708.2627248104</v>
      </c>
      <c r="V22" s="3">
        <f>2*(G22-B22)</f>
        <v>2.0611923924970023E+69</v>
      </c>
      <c r="W22" s="3">
        <f>V22*A22</f>
        <v>1.3809989029729916E+71</v>
      </c>
    </row>
    <row r="23" spans="1:23" x14ac:dyDescent="0.2">
      <c r="A23">
        <v>70</v>
      </c>
      <c r="B23">
        <v>520</v>
      </c>
      <c r="C23" s="3">
        <f t="shared" si="54"/>
        <v>-3.2451855365842674E+31</v>
      </c>
      <c r="D23">
        <f t="shared" si="55"/>
        <v>-3.9007130149742897E+33</v>
      </c>
      <c r="E23">
        <f t="shared" si="56"/>
        <v>-401708.2627248104</v>
      </c>
      <c r="F23">
        <f t="shared" si="57"/>
        <v>-3.9429004269498848E+33</v>
      </c>
      <c r="G23">
        <f t="shared" si="58"/>
        <v>1.0767365652849543E+69</v>
      </c>
      <c r="H23" s="1">
        <f t="shared" si="59"/>
        <v>1.1593616310216407E+138</v>
      </c>
      <c r="I23" s="3">
        <f t="shared" si="60"/>
        <v>1.1593616310216407E+138</v>
      </c>
      <c r="J23" s="3">
        <f t="shared" si="61"/>
        <v>0</v>
      </c>
      <c r="K23" s="3">
        <f t="shared" si="62"/>
        <v>1.1593616310216407E+138</v>
      </c>
      <c r="L23" s="3">
        <f t="shared" si="63"/>
        <v>0</v>
      </c>
      <c r="M23">
        <f t="shared" si="64"/>
        <v>1.1593616310216407E+138</v>
      </c>
      <c r="N23">
        <f t="shared" si="65"/>
        <v>0</v>
      </c>
      <c r="O23">
        <f t="shared" si="66"/>
        <v>1.1593616310216407E+138</v>
      </c>
      <c r="P23">
        <f t="shared" si="67"/>
        <v>0</v>
      </c>
      <c r="Q23" s="3">
        <f t="shared" si="68"/>
        <v>-3.9007130149742897E+33</v>
      </c>
      <c r="R23" s="3">
        <f t="shared" si="69"/>
        <v>-3.2451855365842674E+31</v>
      </c>
      <c r="S23">
        <f t="shared" si="70"/>
        <v>-3.9429004269498848E+33</v>
      </c>
      <c r="T23">
        <f t="shared" si="71"/>
        <v>-401708.2627248104</v>
      </c>
      <c r="V23" s="3">
        <f>2*(G23-B23)</f>
        <v>2.1534731305699087E+69</v>
      </c>
      <c r="W23" s="3">
        <f>V23*A23</f>
        <v>1.507431191398936E+71</v>
      </c>
    </row>
    <row r="24" spans="1:23" x14ac:dyDescent="0.2">
      <c r="A24">
        <v>30</v>
      </c>
      <c r="B24">
        <v>280</v>
      </c>
      <c r="C24" s="3">
        <f t="shared" si="54"/>
        <v>-3.2451855365842674E+31</v>
      </c>
      <c r="D24">
        <f t="shared" si="55"/>
        <v>-3.9007130149742897E+33</v>
      </c>
      <c r="E24">
        <f t="shared" si="56"/>
        <v>-401708.2627248104</v>
      </c>
      <c r="F24">
        <f t="shared" si="57"/>
        <v>-3.9429004269498848E+33</v>
      </c>
      <c r="G24">
        <f t="shared" si="58"/>
        <v>4.6153164479891032E+68</v>
      </c>
      <c r="H24" s="1">
        <f t="shared" si="59"/>
        <v>2.130114591507875E+137</v>
      </c>
      <c r="I24" s="3">
        <f t="shared" si="60"/>
        <v>2.130114591507875E+137</v>
      </c>
      <c r="J24" s="3">
        <f t="shared" si="61"/>
        <v>0</v>
      </c>
      <c r="K24" s="3">
        <f t="shared" si="62"/>
        <v>2.130114591507875E+137</v>
      </c>
      <c r="L24" s="3">
        <f t="shared" si="63"/>
        <v>0</v>
      </c>
      <c r="M24">
        <f t="shared" si="64"/>
        <v>2.130114591507875E+137</v>
      </c>
      <c r="N24">
        <f t="shared" si="65"/>
        <v>0</v>
      </c>
      <c r="O24">
        <f t="shared" si="66"/>
        <v>2.130114591507875E+137</v>
      </c>
      <c r="P24">
        <f t="shared" si="67"/>
        <v>0</v>
      </c>
      <c r="Q24" s="3">
        <f t="shared" si="68"/>
        <v>-3.9007130149742897E+33</v>
      </c>
      <c r="R24" s="3">
        <f t="shared" si="69"/>
        <v>-3.2451855365842674E+31</v>
      </c>
      <c r="S24">
        <f t="shared" si="70"/>
        <v>-3.9429004269498848E+33</v>
      </c>
      <c r="T24">
        <f t="shared" si="71"/>
        <v>-401708.2627248104</v>
      </c>
      <c r="V24" s="3">
        <f>2*(G24-B24)</f>
        <v>9.2306328959782064E+68</v>
      </c>
      <c r="W24" s="3">
        <f>V24*A24</f>
        <v>2.7691898687934618E+70</v>
      </c>
    </row>
    <row r="25" spans="1:23" x14ac:dyDescent="0.2">
      <c r="A25">
        <v>41</v>
      </c>
      <c r="B25">
        <v>346</v>
      </c>
      <c r="C25" s="3">
        <f t="shared" si="54"/>
        <v>-3.2451855365842674E+31</v>
      </c>
      <c r="D25">
        <f t="shared" si="55"/>
        <v>-3.9007130149742897E+33</v>
      </c>
      <c r="E25">
        <f t="shared" si="56"/>
        <v>-401708.2627248104</v>
      </c>
      <c r="F25">
        <f t="shared" si="57"/>
        <v>-3.9429004269498848E+33</v>
      </c>
      <c r="G25">
        <f t="shared" si="58"/>
        <v>6.3071299793257239E+68</v>
      </c>
      <c r="H25" s="1">
        <f t="shared" si="59"/>
        <v>3.9779888576109303E+137</v>
      </c>
      <c r="I25" s="3">
        <f t="shared" si="60"/>
        <v>3.9779888576109303E+137</v>
      </c>
      <c r="J25" s="3">
        <f t="shared" si="61"/>
        <v>0</v>
      </c>
      <c r="K25" s="3">
        <f t="shared" si="62"/>
        <v>3.9779888576109303E+137</v>
      </c>
      <c r="L25" s="3">
        <f t="shared" si="63"/>
        <v>0</v>
      </c>
      <c r="M25">
        <f t="shared" si="64"/>
        <v>3.9779888576109303E+137</v>
      </c>
      <c r="N25">
        <f t="shared" si="65"/>
        <v>0</v>
      </c>
      <c r="O25">
        <f t="shared" si="66"/>
        <v>3.9779888576109303E+137</v>
      </c>
      <c r="P25">
        <f t="shared" si="67"/>
        <v>0</v>
      </c>
      <c r="Q25" s="3">
        <f t="shared" si="68"/>
        <v>-3.9007130149742897E+33</v>
      </c>
      <c r="R25" s="3">
        <f t="shared" si="69"/>
        <v>-3.2451855365842674E+31</v>
      </c>
      <c r="S25">
        <f t="shared" si="70"/>
        <v>-3.9429004269498848E+33</v>
      </c>
      <c r="T25">
        <f t="shared" si="71"/>
        <v>-401708.2627248104</v>
      </c>
      <c r="V25" s="3">
        <f>2*(G25-B25)</f>
        <v>1.2614259958651448E+69</v>
      </c>
      <c r="W25" s="3">
        <f>V25*A25</f>
        <v>5.1718465830470933E+70</v>
      </c>
    </row>
    <row r="26" spans="1:23" x14ac:dyDescent="0.2">
      <c r="A26">
        <v>97</v>
      </c>
      <c r="B26">
        <v>682</v>
      </c>
      <c r="C26" s="3">
        <f t="shared" si="54"/>
        <v>-3.2451855365842674E+31</v>
      </c>
      <c r="D26">
        <f t="shared" si="55"/>
        <v>-3.9007130149742897E+33</v>
      </c>
      <c r="E26">
        <f t="shared" si="56"/>
        <v>-401708.2627248104</v>
      </c>
      <c r="F26">
        <f t="shared" si="57"/>
        <v>-3.9429004269498848E+33</v>
      </c>
      <c r="G26">
        <f t="shared" si="58"/>
        <v>1.4919998866130338E+69</v>
      </c>
      <c r="H26" s="1">
        <f t="shared" si="59"/>
        <v>2.2260636616533057E+138</v>
      </c>
      <c r="I26" s="3">
        <f t="shared" si="60"/>
        <v>2.2260636616533057E+138</v>
      </c>
      <c r="J26" s="3">
        <f t="shared" si="61"/>
        <v>0</v>
      </c>
      <c r="K26" s="3">
        <f t="shared" si="62"/>
        <v>2.2260636616533057E+138</v>
      </c>
      <c r="L26" s="3">
        <f t="shared" si="63"/>
        <v>0</v>
      </c>
      <c r="M26">
        <f t="shared" si="64"/>
        <v>2.2260636616533057E+138</v>
      </c>
      <c r="N26">
        <f t="shared" si="65"/>
        <v>0</v>
      </c>
      <c r="O26">
        <f t="shared" si="66"/>
        <v>2.2260636616533057E+138</v>
      </c>
      <c r="P26">
        <f t="shared" si="67"/>
        <v>0</v>
      </c>
      <c r="Q26" s="3">
        <f t="shared" si="68"/>
        <v>-3.9007130149742897E+33</v>
      </c>
      <c r="R26" s="3">
        <f t="shared" si="69"/>
        <v>-3.2451855365842674E+31</v>
      </c>
      <c r="S26">
        <f t="shared" si="70"/>
        <v>-3.9429004269498848E+33</v>
      </c>
      <c r="T26">
        <f t="shared" si="71"/>
        <v>-401708.2627248104</v>
      </c>
      <c r="V26" s="3">
        <f>2*(G26-B26)</f>
        <v>2.9839997732260675E+69</v>
      </c>
      <c r="W26" s="3">
        <f>V26*A26</f>
        <v>2.8944797800292855E+71</v>
      </c>
    </row>
    <row r="27" spans="1:23" x14ac:dyDescent="0.2">
      <c r="A27">
        <v>36</v>
      </c>
      <c r="B27">
        <v>316</v>
      </c>
      <c r="C27" s="3">
        <f t="shared" si="54"/>
        <v>-3.2451855365842674E+31</v>
      </c>
      <c r="D27">
        <f t="shared" si="55"/>
        <v>-3.9007130149742897E+33</v>
      </c>
      <c r="E27">
        <f t="shared" si="56"/>
        <v>-401708.2627248104</v>
      </c>
      <c r="F27">
        <f t="shared" si="57"/>
        <v>-3.9429004269498848E+33</v>
      </c>
      <c r="G27">
        <f t="shared" si="58"/>
        <v>5.5381238287181688E+68</v>
      </c>
      <c r="H27" s="1">
        <f t="shared" si="59"/>
        <v>3.0670815542215989E+137</v>
      </c>
      <c r="I27" s="3">
        <f t="shared" si="60"/>
        <v>3.0670815542215989E+137</v>
      </c>
      <c r="J27" s="3">
        <f t="shared" si="61"/>
        <v>0</v>
      </c>
      <c r="K27" s="3">
        <f t="shared" si="62"/>
        <v>3.0670815542215989E+137</v>
      </c>
      <c r="L27" s="3">
        <f t="shared" si="63"/>
        <v>0</v>
      </c>
      <c r="M27">
        <f t="shared" si="64"/>
        <v>3.0670815542215989E+137</v>
      </c>
      <c r="N27">
        <f t="shared" si="65"/>
        <v>0</v>
      </c>
      <c r="O27">
        <f t="shared" si="66"/>
        <v>3.0670815542215989E+137</v>
      </c>
      <c r="P27">
        <f t="shared" si="67"/>
        <v>0</v>
      </c>
      <c r="Q27" s="3">
        <f t="shared" si="68"/>
        <v>-3.9007130149742897E+33</v>
      </c>
      <c r="R27" s="3">
        <f t="shared" si="69"/>
        <v>-3.2451855365842674E+31</v>
      </c>
      <c r="S27">
        <f t="shared" si="70"/>
        <v>-3.9429004269498848E+33</v>
      </c>
      <c r="T27">
        <f t="shared" si="71"/>
        <v>-401708.2627248104</v>
      </c>
      <c r="V27" s="3">
        <f>2*(G27-B27)</f>
        <v>1.1076247657436338E+69</v>
      </c>
      <c r="W27" s="3">
        <f>V27*A27</f>
        <v>3.9874491566770814E+70</v>
      </c>
    </row>
    <row r="28" spans="1:23" x14ac:dyDescent="0.2">
      <c r="A28">
        <v>39</v>
      </c>
      <c r="B28">
        <v>334</v>
      </c>
      <c r="C28" s="3">
        <f t="shared" si="54"/>
        <v>-3.2451855365842674E+31</v>
      </c>
      <c r="D28">
        <f t="shared" si="55"/>
        <v>-3.9007130149742897E+33</v>
      </c>
      <c r="E28">
        <f t="shared" si="56"/>
        <v>-401708.2627248104</v>
      </c>
      <c r="F28">
        <f t="shared" si="57"/>
        <v>-3.9429004269498848E+33</v>
      </c>
      <c r="G28">
        <f t="shared" si="58"/>
        <v>5.9995275190827017E+68</v>
      </c>
      <c r="H28" s="1">
        <f t="shared" si="59"/>
        <v>3.5994330452230638E+137</v>
      </c>
      <c r="I28" s="3">
        <f t="shared" si="60"/>
        <v>3.5994330452230638E+137</v>
      </c>
      <c r="J28" s="3">
        <f t="shared" si="61"/>
        <v>0</v>
      </c>
      <c r="K28" s="3">
        <f t="shared" si="62"/>
        <v>3.5994330452230638E+137</v>
      </c>
      <c r="L28" s="3">
        <f t="shared" si="63"/>
        <v>0</v>
      </c>
      <c r="M28">
        <f t="shared" si="64"/>
        <v>3.5994330452230638E+137</v>
      </c>
      <c r="N28">
        <f t="shared" si="65"/>
        <v>0</v>
      </c>
      <c r="O28">
        <f t="shared" si="66"/>
        <v>3.5994330452230638E+137</v>
      </c>
      <c r="P28">
        <f t="shared" si="67"/>
        <v>0</v>
      </c>
      <c r="Q28" s="3">
        <f t="shared" si="68"/>
        <v>-3.9007130149742897E+33</v>
      </c>
      <c r="R28" s="3">
        <f t="shared" si="69"/>
        <v>-3.2451855365842674E+31</v>
      </c>
      <c r="S28">
        <f t="shared" si="70"/>
        <v>-3.9429004269498848E+33</v>
      </c>
      <c r="T28">
        <f t="shared" si="71"/>
        <v>-401708.2627248104</v>
      </c>
      <c r="V28" s="3">
        <f>2*(G28-B28)</f>
        <v>1.1999055038165403E+69</v>
      </c>
      <c r="W28" s="3">
        <f>V28*A28</f>
        <v>4.6796314648845073E+70</v>
      </c>
    </row>
    <row r="29" spans="1:23" x14ac:dyDescent="0.2">
      <c r="A29">
        <v>19</v>
      </c>
      <c r="B29">
        <v>214</v>
      </c>
      <c r="C29" s="3">
        <f t="shared" si="54"/>
        <v>-3.2451855365842674E+31</v>
      </c>
      <c r="D29">
        <f t="shared" si="55"/>
        <v>-3.9007130149742897E+33</v>
      </c>
      <c r="E29">
        <f t="shared" si="56"/>
        <v>-401708.2627248104</v>
      </c>
      <c r="F29">
        <f t="shared" si="57"/>
        <v>-3.9429004269498848E+33</v>
      </c>
      <c r="G29">
        <f t="shared" si="58"/>
        <v>2.9235029166524816E+68</v>
      </c>
      <c r="H29" s="1">
        <f t="shared" si="59"/>
        <v>8.5468693036755671E+136</v>
      </c>
      <c r="I29" s="3">
        <f t="shared" si="60"/>
        <v>8.5468693036755671E+136</v>
      </c>
      <c r="J29" s="3">
        <f t="shared" si="61"/>
        <v>0</v>
      </c>
      <c r="K29" s="3">
        <f t="shared" si="62"/>
        <v>8.5468693036755671E+136</v>
      </c>
      <c r="L29" s="3">
        <f t="shared" si="63"/>
        <v>0</v>
      </c>
      <c r="M29">
        <f t="shared" si="64"/>
        <v>8.5468693036755671E+136</v>
      </c>
      <c r="N29">
        <f t="shared" si="65"/>
        <v>0</v>
      </c>
      <c r="O29">
        <f t="shared" si="66"/>
        <v>8.5468693036755671E+136</v>
      </c>
      <c r="P29">
        <f t="shared" si="67"/>
        <v>0</v>
      </c>
      <c r="Q29" s="3">
        <f t="shared" si="68"/>
        <v>-3.9007130149742897E+33</v>
      </c>
      <c r="R29" s="3">
        <f t="shared" si="69"/>
        <v>-3.2451855365842674E+31</v>
      </c>
      <c r="S29">
        <f t="shared" si="70"/>
        <v>-3.9429004269498848E+33</v>
      </c>
      <c r="T29">
        <f t="shared" si="71"/>
        <v>-401708.2627248104</v>
      </c>
      <c r="V29" s="3">
        <f>2*(G29-B29)</f>
        <v>5.8470058333049632E+68</v>
      </c>
      <c r="W29" s="3">
        <f>V29*A29</f>
        <v>1.110931108327943E+70</v>
      </c>
    </row>
    <row r="30" spans="1:23" x14ac:dyDescent="0.2">
      <c r="A30">
        <v>36</v>
      </c>
      <c r="B30">
        <v>316</v>
      </c>
      <c r="C30" s="3">
        <f t="shared" si="54"/>
        <v>-3.2451855365842674E+31</v>
      </c>
      <c r="D30">
        <f t="shared" si="55"/>
        <v>-3.9007130149742897E+33</v>
      </c>
      <c r="E30">
        <f t="shared" si="56"/>
        <v>-401708.2627248104</v>
      </c>
      <c r="F30">
        <f t="shared" si="57"/>
        <v>-3.9429004269498848E+33</v>
      </c>
      <c r="G30">
        <f t="shared" si="58"/>
        <v>5.5381238287181688E+68</v>
      </c>
      <c r="H30" s="1">
        <f t="shared" si="59"/>
        <v>3.0670815542215989E+137</v>
      </c>
      <c r="I30" s="3">
        <f t="shared" si="60"/>
        <v>3.0670815542215989E+137</v>
      </c>
      <c r="J30" s="3">
        <f t="shared" si="61"/>
        <v>0</v>
      </c>
      <c r="K30" s="3">
        <f t="shared" si="62"/>
        <v>3.0670815542215989E+137</v>
      </c>
      <c r="L30" s="3">
        <f t="shared" si="63"/>
        <v>0</v>
      </c>
      <c r="M30">
        <f t="shared" si="64"/>
        <v>3.0670815542215989E+137</v>
      </c>
      <c r="N30">
        <f t="shared" si="65"/>
        <v>0</v>
      </c>
      <c r="O30">
        <f t="shared" si="66"/>
        <v>3.0670815542215989E+137</v>
      </c>
      <c r="P30">
        <f t="shared" si="67"/>
        <v>0</v>
      </c>
      <c r="Q30" s="3">
        <f t="shared" si="68"/>
        <v>-3.9007130149742897E+33</v>
      </c>
      <c r="R30" s="3">
        <f t="shared" si="69"/>
        <v>-3.2451855365842674E+31</v>
      </c>
      <c r="S30">
        <f t="shared" si="70"/>
        <v>-3.9429004269498848E+33</v>
      </c>
      <c r="T30">
        <f t="shared" si="71"/>
        <v>-401708.2627248104</v>
      </c>
      <c r="V30" s="3">
        <f>2*(G30-B30)</f>
        <v>1.1076247657436338E+69</v>
      </c>
      <c r="W30" s="3">
        <f>V30*A30</f>
        <v>3.9874491566770814E+70</v>
      </c>
    </row>
    <row r="31" spans="1:23" x14ac:dyDescent="0.2">
      <c r="A31">
        <v>27</v>
      </c>
      <c r="B31">
        <v>262</v>
      </c>
      <c r="C31" s="3">
        <f t="shared" si="54"/>
        <v>-3.2451855365842674E+31</v>
      </c>
      <c r="D31">
        <f t="shared" si="55"/>
        <v>-3.9007130149742897E+33</v>
      </c>
      <c r="E31">
        <f t="shared" si="56"/>
        <v>-401708.2627248104</v>
      </c>
      <c r="F31">
        <f t="shared" si="57"/>
        <v>-3.9429004269498848E+33</v>
      </c>
      <c r="G31">
        <f t="shared" si="58"/>
        <v>4.1539127576245699E+68</v>
      </c>
      <c r="H31" s="1">
        <f t="shared" si="59"/>
        <v>1.725499119795616E+137</v>
      </c>
      <c r="I31" s="3">
        <f t="shared" si="60"/>
        <v>1.725499119795616E+137</v>
      </c>
      <c r="J31" s="3">
        <f t="shared" si="61"/>
        <v>0</v>
      </c>
      <c r="K31" s="3">
        <f t="shared" si="62"/>
        <v>1.725499119795616E+137</v>
      </c>
      <c r="L31" s="3">
        <f t="shared" si="63"/>
        <v>0</v>
      </c>
      <c r="M31">
        <f t="shared" si="64"/>
        <v>1.725499119795616E+137</v>
      </c>
      <c r="N31">
        <f t="shared" si="65"/>
        <v>0</v>
      </c>
      <c r="O31">
        <f t="shared" si="66"/>
        <v>1.725499119795616E+137</v>
      </c>
      <c r="P31">
        <f t="shared" si="67"/>
        <v>0</v>
      </c>
      <c r="Q31" s="3">
        <f t="shared" si="68"/>
        <v>-3.9007130149742897E+33</v>
      </c>
      <c r="R31" s="3">
        <f t="shared" si="69"/>
        <v>-3.2451855365842674E+31</v>
      </c>
      <c r="S31">
        <f t="shared" si="70"/>
        <v>-3.9429004269498848E+33</v>
      </c>
      <c r="T31">
        <f t="shared" si="71"/>
        <v>-401708.2627248104</v>
      </c>
      <c r="V31" s="3">
        <f>2*(G31-B31)</f>
        <v>8.3078255152491398E+68</v>
      </c>
      <c r="W31" s="3">
        <f>V31*A31</f>
        <v>2.2431128891172677E+70</v>
      </c>
    </row>
    <row r="32" spans="1:23" x14ac:dyDescent="0.2">
      <c r="A32">
        <v>90</v>
      </c>
      <c r="B32">
        <v>640</v>
      </c>
      <c r="C32" s="3">
        <f t="shared" si="54"/>
        <v>-3.2451855365842674E+31</v>
      </c>
      <c r="D32">
        <f t="shared" si="55"/>
        <v>-3.9007130149742897E+33</v>
      </c>
      <c r="E32">
        <f t="shared" si="56"/>
        <v>-401708.2627248104</v>
      </c>
      <c r="F32">
        <f t="shared" si="57"/>
        <v>-3.9429004269498848E+33</v>
      </c>
      <c r="G32">
        <f t="shared" si="58"/>
        <v>1.3843390255279761E+69</v>
      </c>
      <c r="H32" s="1">
        <f t="shared" si="59"/>
        <v>1.9163945375997465E+138</v>
      </c>
      <c r="I32" s="3">
        <f t="shared" si="60"/>
        <v>1.9163945375997465E+138</v>
      </c>
      <c r="J32" s="3">
        <f t="shared" si="61"/>
        <v>0</v>
      </c>
      <c r="K32" s="3">
        <f t="shared" si="62"/>
        <v>1.9163945375997465E+138</v>
      </c>
      <c r="L32" s="3">
        <f t="shared" si="63"/>
        <v>0</v>
      </c>
      <c r="M32">
        <f t="shared" si="64"/>
        <v>1.9163945375997465E+138</v>
      </c>
      <c r="N32">
        <f t="shared" si="65"/>
        <v>0</v>
      </c>
      <c r="O32">
        <f t="shared" si="66"/>
        <v>1.9163945375997465E+138</v>
      </c>
      <c r="P32">
        <f t="shared" si="67"/>
        <v>0</v>
      </c>
      <c r="Q32" s="3">
        <f t="shared" si="68"/>
        <v>-3.9007130149742897E+33</v>
      </c>
      <c r="R32" s="3">
        <f t="shared" si="69"/>
        <v>-3.2451855365842674E+31</v>
      </c>
      <c r="S32">
        <f t="shared" si="70"/>
        <v>-3.9429004269498848E+33</v>
      </c>
      <c r="T32">
        <f t="shared" si="71"/>
        <v>-401708.2627248104</v>
      </c>
      <c r="V32" s="3">
        <f>2*(G32-B32)</f>
        <v>2.7686780510559523E+69</v>
      </c>
      <c r="W32" s="3">
        <f>V32*A32</f>
        <v>2.4918102459503572E+71</v>
      </c>
    </row>
    <row r="33" spans="1:23" x14ac:dyDescent="0.2">
      <c r="A33">
        <v>34</v>
      </c>
      <c r="B33">
        <v>304</v>
      </c>
      <c r="C33" s="3">
        <f t="shared" si="54"/>
        <v>-3.2451855365842674E+31</v>
      </c>
      <c r="D33">
        <f t="shared" si="55"/>
        <v>-3.9007130149742897E+33</v>
      </c>
      <c r="E33">
        <f t="shared" si="56"/>
        <v>-401708.2627248104</v>
      </c>
      <c r="F33">
        <f t="shared" si="57"/>
        <v>-3.9429004269498848E+33</v>
      </c>
      <c r="G33">
        <f t="shared" si="58"/>
        <v>5.2305213684751476E+68</v>
      </c>
      <c r="H33" s="1">
        <f t="shared" si="59"/>
        <v>2.7358353786075132E+137</v>
      </c>
      <c r="I33" s="3">
        <f t="shared" si="60"/>
        <v>2.7358353786075132E+137</v>
      </c>
      <c r="J33" s="3">
        <f t="shared" si="61"/>
        <v>0</v>
      </c>
      <c r="K33" s="3">
        <f t="shared" si="62"/>
        <v>2.7358353786075132E+137</v>
      </c>
      <c r="L33" s="3">
        <f t="shared" si="63"/>
        <v>0</v>
      </c>
      <c r="M33">
        <f t="shared" si="64"/>
        <v>2.7358353786075132E+137</v>
      </c>
      <c r="N33">
        <f t="shared" si="65"/>
        <v>0</v>
      </c>
      <c r="O33">
        <f t="shared" si="66"/>
        <v>2.7358353786075132E+137</v>
      </c>
      <c r="P33">
        <f t="shared" si="67"/>
        <v>0</v>
      </c>
      <c r="Q33" s="3">
        <f t="shared" si="68"/>
        <v>-3.9007130149742897E+33</v>
      </c>
      <c r="R33" s="3">
        <f t="shared" si="69"/>
        <v>-3.2451855365842674E+31</v>
      </c>
      <c r="S33">
        <f t="shared" si="70"/>
        <v>-3.9429004269498848E+33</v>
      </c>
      <c r="T33">
        <f t="shared" si="71"/>
        <v>-401708.2627248104</v>
      </c>
      <c r="V33" s="3">
        <f>2*(G33-B33)</f>
        <v>1.0461042736950295E+69</v>
      </c>
      <c r="W33" s="3">
        <f>V33*A33</f>
        <v>3.5567545305631001E+70</v>
      </c>
    </row>
    <row r="34" spans="1:23" x14ac:dyDescent="0.2">
      <c r="A34">
        <v>55</v>
      </c>
      <c r="B34">
        <v>430</v>
      </c>
      <c r="C34" s="3">
        <f t="shared" si="54"/>
        <v>-3.2451855365842674E+31</v>
      </c>
      <c r="D34">
        <f t="shared" si="55"/>
        <v>-3.9007130149742897E+33</v>
      </c>
      <c r="E34">
        <f t="shared" si="56"/>
        <v>-401708.2627248104</v>
      </c>
      <c r="F34">
        <f t="shared" si="57"/>
        <v>-3.9429004269498848E+33</v>
      </c>
      <c r="G34">
        <f t="shared" si="58"/>
        <v>8.4603472010268773E+68</v>
      </c>
      <c r="H34" s="1">
        <f t="shared" si="59"/>
        <v>7.1577474761923314E+137</v>
      </c>
      <c r="I34" s="3">
        <f t="shared" si="60"/>
        <v>7.1577474761923314E+137</v>
      </c>
      <c r="J34" s="3">
        <f t="shared" si="61"/>
        <v>0</v>
      </c>
      <c r="K34" s="3">
        <f t="shared" si="62"/>
        <v>7.1577474761923314E+137</v>
      </c>
      <c r="L34" s="3">
        <f t="shared" si="63"/>
        <v>0</v>
      </c>
      <c r="M34">
        <f t="shared" si="64"/>
        <v>7.1577474761923314E+137</v>
      </c>
      <c r="N34">
        <f t="shared" si="65"/>
        <v>0</v>
      </c>
      <c r="O34">
        <f t="shared" si="66"/>
        <v>7.1577474761923314E+137</v>
      </c>
      <c r="P34">
        <f t="shared" si="67"/>
        <v>0</v>
      </c>
      <c r="Q34" s="3">
        <f t="shared" si="68"/>
        <v>-3.9007130149742897E+33</v>
      </c>
      <c r="R34" s="3">
        <f t="shared" si="69"/>
        <v>-3.2451855365842674E+31</v>
      </c>
      <c r="S34">
        <f t="shared" si="70"/>
        <v>-3.9429004269498848E+33</v>
      </c>
      <c r="T34">
        <f t="shared" si="71"/>
        <v>-401708.2627248104</v>
      </c>
      <c r="V34" s="3">
        <f>2*(G34-B34)</f>
        <v>1.6920694402053755E+69</v>
      </c>
      <c r="W34" s="3">
        <f>V34*A34</f>
        <v>9.3063819211295646E+70</v>
      </c>
    </row>
    <row r="35" spans="1:23" x14ac:dyDescent="0.2">
      <c r="A35">
        <v>18</v>
      </c>
      <c r="B35">
        <v>208</v>
      </c>
      <c r="C35" s="3">
        <f t="shared" si="54"/>
        <v>-3.2451855365842674E+31</v>
      </c>
      <c r="D35">
        <f t="shared" si="55"/>
        <v>-3.9007130149742897E+33</v>
      </c>
      <c r="E35">
        <f t="shared" si="56"/>
        <v>-401708.2627248104</v>
      </c>
      <c r="F35">
        <f t="shared" si="57"/>
        <v>-3.9429004269498848E+33</v>
      </c>
      <c r="G35">
        <f t="shared" si="58"/>
        <v>2.7697016865309705E+68</v>
      </c>
      <c r="H35" s="1">
        <f t="shared" si="59"/>
        <v>7.6712474323725021E+136</v>
      </c>
      <c r="I35" s="3">
        <f t="shared" si="60"/>
        <v>7.6712474323725021E+136</v>
      </c>
      <c r="J35" s="3">
        <f t="shared" si="61"/>
        <v>0</v>
      </c>
      <c r="K35" s="3">
        <f t="shared" si="62"/>
        <v>7.6712474323725021E+136</v>
      </c>
      <c r="L35" s="3">
        <f t="shared" si="63"/>
        <v>0</v>
      </c>
      <c r="M35">
        <f t="shared" si="64"/>
        <v>7.6712474323725021E+136</v>
      </c>
      <c r="N35">
        <f t="shared" si="65"/>
        <v>0</v>
      </c>
      <c r="O35">
        <f t="shared" si="66"/>
        <v>7.6712474323725021E+136</v>
      </c>
      <c r="P35">
        <f t="shared" si="67"/>
        <v>0</v>
      </c>
      <c r="Q35" s="3">
        <f t="shared" si="68"/>
        <v>-3.9007130149742897E+33</v>
      </c>
      <c r="R35" s="3">
        <f t="shared" si="69"/>
        <v>-3.2451855365842674E+31</v>
      </c>
      <c r="S35">
        <f t="shared" si="70"/>
        <v>-3.9429004269498848E+33</v>
      </c>
      <c r="T35">
        <f t="shared" si="71"/>
        <v>-401708.2627248104</v>
      </c>
      <c r="V35" s="3">
        <f>2*(G35-B35)</f>
        <v>5.539403373061941E+68</v>
      </c>
      <c r="W35" s="3">
        <f>V35*A35</f>
        <v>9.9709260715114944E+69</v>
      </c>
    </row>
    <row r="36" spans="1:23" x14ac:dyDescent="0.2">
      <c r="G36" t="s">
        <v>2</v>
      </c>
      <c r="H36" s="1">
        <f>SQRT(SUM(H7:H35))</f>
        <v>4.0617267833638737E+69</v>
      </c>
      <c r="V36" s="3">
        <f>SQRT(SUMSQ(V7:V35))</f>
        <v>8.1234535667277474E+69</v>
      </c>
      <c r="W36" s="3">
        <f>SQRT(SUMSQ(W7:W35))</f>
        <v>6.4176690005402524E+71</v>
      </c>
    </row>
    <row r="39" spans="1:23" x14ac:dyDescent="0.2">
      <c r="C39" t="s">
        <v>20</v>
      </c>
    </row>
    <row r="40" spans="1:23" x14ac:dyDescent="0.2">
      <c r="C40" t="s">
        <v>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basic1.somesteps">
                <anchor moveWithCells="1">
                  <from>
                    <xdr:col>0</xdr:col>
                    <xdr:colOff>0</xdr:colOff>
                    <xdr:row>1</xdr:row>
                    <xdr:rowOff>12700</xdr:rowOff>
                  </from>
                  <to>
                    <xdr:col>0</xdr:col>
                    <xdr:colOff>508000</xdr:colOff>
                    <xdr:row>2</xdr:row>
                    <xdr:rowOff>0</xdr:rowOff>
                  </to>
                </anchor>
              </controlPr>
            </control>
          </mc:Choice>
        </mc:AlternateContent>
        <mc:AlternateContent xmlns:mc="http://schemas.openxmlformats.org/markup-compatibility/2006">
          <mc:Choice Requires="x14">
            <control shapeId="67586" r:id="rId5" name="Button 2">
              <controlPr defaultSize="0" print="0" autoFill="0" autoPict="0" macro="[0]!basic1.reset">
                <anchor moveWithCells="1">
                  <from>
                    <xdr:col>0</xdr:col>
                    <xdr:colOff>0</xdr:colOff>
                    <xdr:row>0</xdr:row>
                    <xdr:rowOff>25400</xdr:rowOff>
                  </from>
                  <to>
                    <xdr:col>0</xdr:col>
                    <xdr:colOff>508000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omentum"/>
  <dimension ref="A1:M33"/>
  <sheetViews>
    <sheetView zoomScale="120" zoomScaleNormal="130" workbookViewId="0">
      <pane xSplit="3" ySplit="3" topLeftCell="D10" activePane="bottomRight" state="frozen"/>
      <selection pane="topRight" activeCell="D1" sqref="D1"/>
      <selection pane="bottomLeft" activeCell="A4" sqref="A4"/>
      <selection pane="bottomRight" activeCell="H13" sqref="H13"/>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6.33203125" bestFit="1" customWidth="1"/>
    <col min="10" max="11" width="6.6640625" customWidth="1"/>
  </cols>
  <sheetData>
    <row r="1" spans="1:13" x14ac:dyDescent="0.2">
      <c r="B1" t="s">
        <v>21</v>
      </c>
      <c r="C1" s="5">
        <v>1.2610777567972657</v>
      </c>
      <c r="D1" s="5" t="s">
        <v>14</v>
      </c>
      <c r="I1" t="s">
        <v>24</v>
      </c>
      <c r="J1">
        <v>0.9</v>
      </c>
      <c r="K1">
        <f>1-J1</f>
        <v>9.9999999999999978E-2</v>
      </c>
    </row>
    <row r="2" spans="1:13" x14ac:dyDescent="0.2">
      <c r="B2" t="s">
        <v>22</v>
      </c>
      <c r="C2" s="5">
        <v>2.3580347909544339</v>
      </c>
      <c r="D2">
        <v>1E-4</v>
      </c>
      <c r="F2" s="9"/>
      <c r="G2" s="9"/>
    </row>
    <row r="3" spans="1:13" s="2" customFormat="1" x14ac:dyDescent="0.2">
      <c r="A3" s="2" t="s">
        <v>15</v>
      </c>
      <c r="B3" s="2" t="s">
        <v>16</v>
      </c>
      <c r="C3" s="6" t="s">
        <v>21</v>
      </c>
      <c r="D3" s="6" t="s">
        <v>22</v>
      </c>
      <c r="E3" s="6" t="s">
        <v>18</v>
      </c>
      <c r="F3" s="8" t="s">
        <v>6</v>
      </c>
      <c r="G3" s="8" t="s">
        <v>9</v>
      </c>
      <c r="H3" s="2" t="s">
        <v>13</v>
      </c>
      <c r="I3" s="2" t="s">
        <v>12</v>
      </c>
      <c r="J3">
        <f>J33</f>
        <v>-19.279531290451075</v>
      </c>
      <c r="K3">
        <f>K33</f>
        <v>162.8396203477341</v>
      </c>
      <c r="L3" s="4"/>
      <c r="M3" s="4"/>
    </row>
    <row r="4" spans="1:13" x14ac:dyDescent="0.2">
      <c r="A4">
        <v>14</v>
      </c>
      <c r="B4">
        <v>58</v>
      </c>
      <c r="C4" s="5">
        <f>C1</f>
        <v>1.2610777567972657</v>
      </c>
      <c r="D4" s="5">
        <f>C2</f>
        <v>2.3580347909544339</v>
      </c>
      <c r="E4" s="5">
        <f>C4+D4*A4</f>
        <v>34.273564830159337</v>
      </c>
      <c r="F4" s="7">
        <f t="shared" ref="F4:F32" si="0">2*(D4*A4+C4-B4)</f>
        <v>-47.452870339681326</v>
      </c>
      <c r="G4" s="7">
        <f t="shared" ref="G4:G32" si="1">F4*A4</f>
        <v>-664.34018475553853</v>
      </c>
      <c r="H4" s="3">
        <f>C4-J4*$D$2</f>
        <v>1.2632874433168031</v>
      </c>
      <c r="I4" s="3">
        <f>D4-K4*$D$2</f>
        <v>2.3500226269706932</v>
      </c>
      <c r="J4">
        <f>J3*$J$1+$K$1*F4</f>
        <v>-22.0968651953741</v>
      </c>
      <c r="K4">
        <f>K3*$J$1+$K$1*G4</f>
        <v>80.12163983740686</v>
      </c>
    </row>
    <row r="5" spans="1:13" x14ac:dyDescent="0.2">
      <c r="A5">
        <v>86</v>
      </c>
      <c r="B5">
        <v>202</v>
      </c>
      <c r="C5" s="5">
        <f>H4</f>
        <v>1.2632874433168031</v>
      </c>
      <c r="D5" s="5">
        <f>I4</f>
        <v>2.3500226269706932</v>
      </c>
      <c r="E5" s="5">
        <f>C5+D5*A5</f>
        <v>203.36523336279643</v>
      </c>
      <c r="F5" s="7">
        <f t="shared" si="0"/>
        <v>2.7304667255928621</v>
      </c>
      <c r="G5" s="7">
        <f t="shared" si="1"/>
        <v>234.82013840098614</v>
      </c>
      <c r="H5" s="3">
        <f t="shared" ref="H5:H32" si="2">C5-J5*$D$2</f>
        <v>1.2652488565171309</v>
      </c>
      <c r="I5" s="3">
        <f t="shared" ref="I5:I32" si="3">D5-K5*$D$2</f>
        <v>2.3404634780013169</v>
      </c>
      <c r="J5">
        <f>J4*$J$1+$K$1*F5</f>
        <v>-19.614132003277405</v>
      </c>
      <c r="K5">
        <f t="shared" ref="J5:K20" si="4">K4*$J$1+$K$1*G5</f>
        <v>95.5914896937648</v>
      </c>
    </row>
    <row r="6" spans="1:13" x14ac:dyDescent="0.2">
      <c r="A6">
        <v>28</v>
      </c>
      <c r="B6">
        <v>86</v>
      </c>
      <c r="C6" s="5">
        <f>H5</f>
        <v>1.2652488565171309</v>
      </c>
      <c r="D6" s="5">
        <f>I5</f>
        <v>2.3404634780013169</v>
      </c>
      <c r="E6" s="5">
        <f>C6+D6*A6</f>
        <v>66.798226240554001</v>
      </c>
      <c r="F6" s="7">
        <f t="shared" si="0"/>
        <v>-38.403547518891997</v>
      </c>
      <c r="G6" s="7">
        <f t="shared" si="1"/>
        <v>-1075.299330528976</v>
      </c>
      <c r="H6" s="3">
        <f t="shared" si="2"/>
        <v>1.2673981638726148</v>
      </c>
      <c r="I6" s="3">
        <f t="shared" si="3"/>
        <v>2.3426132372341679</v>
      </c>
      <c r="J6">
        <f t="shared" si="4"/>
        <v>-21.493073554838862</v>
      </c>
      <c r="K6">
        <f t="shared" si="4"/>
        <v>-21.497592328509256</v>
      </c>
    </row>
    <row r="7" spans="1:13" x14ac:dyDescent="0.2">
      <c r="A7">
        <v>51</v>
      </c>
      <c r="B7">
        <v>132</v>
      </c>
      <c r="C7" s="5">
        <f t="shared" ref="C7:D32" si="5">H6</f>
        <v>1.2673981638726148</v>
      </c>
      <c r="D7" s="5">
        <f t="shared" si="5"/>
        <v>2.3426132372341679</v>
      </c>
      <c r="E7" s="5">
        <f t="shared" ref="E7:E32" si="6">C7+D7*A7</f>
        <v>120.74067326281518</v>
      </c>
      <c r="F7" s="7">
        <f t="shared" si="0"/>
        <v>-22.518653474369643</v>
      </c>
      <c r="G7" s="7">
        <f t="shared" si="1"/>
        <v>-1148.4513271928517</v>
      </c>
      <c r="H7" s="3">
        <f t="shared" si="2"/>
        <v>1.269557727027294</v>
      </c>
      <c r="I7" s="3">
        <f t="shared" si="3"/>
        <v>2.3560325338156622</v>
      </c>
      <c r="J7">
        <f t="shared" si="4"/>
        <v>-21.595631546791942</v>
      </c>
      <c r="K7">
        <f t="shared" si="4"/>
        <v>-134.19296581494348</v>
      </c>
    </row>
    <row r="8" spans="1:13" x14ac:dyDescent="0.2">
      <c r="A8">
        <v>28</v>
      </c>
      <c r="B8">
        <v>86</v>
      </c>
      <c r="C8" s="5">
        <f t="shared" si="5"/>
        <v>1.269557727027294</v>
      </c>
      <c r="D8" s="5">
        <f t="shared" si="5"/>
        <v>2.3560325338156622</v>
      </c>
      <c r="E8" s="5">
        <f t="shared" si="6"/>
        <v>67.238468673865839</v>
      </c>
      <c r="F8" s="7">
        <f t="shared" si="0"/>
        <v>-37.523062652268322</v>
      </c>
      <c r="G8" s="7">
        <f t="shared" si="1"/>
        <v>-1050.645754263513</v>
      </c>
      <c r="H8" s="3">
        <f t="shared" si="2"/>
        <v>1.2718765644930279</v>
      </c>
      <c r="I8" s="3">
        <f t="shared" si="3"/>
        <v>2.3786163582816422</v>
      </c>
      <c r="J8">
        <f t="shared" si="4"/>
        <v>-23.18837465733958</v>
      </c>
      <c r="K8">
        <f t="shared" si="4"/>
        <v>-225.83824465980041</v>
      </c>
    </row>
    <row r="9" spans="1:13" x14ac:dyDescent="0.2">
      <c r="A9">
        <v>29</v>
      </c>
      <c r="B9">
        <v>88</v>
      </c>
      <c r="C9" s="5">
        <f t="shared" si="5"/>
        <v>1.2718765644930279</v>
      </c>
      <c r="D9" s="5">
        <f t="shared" si="5"/>
        <v>2.3786163582816422</v>
      </c>
      <c r="E9" s="5">
        <f t="shared" si="6"/>
        <v>70.25175095466065</v>
      </c>
      <c r="F9" s="7">
        <f t="shared" si="0"/>
        <v>-35.496498090678699</v>
      </c>
      <c r="G9" s="7">
        <f t="shared" si="1"/>
        <v>-1029.3984446296822</v>
      </c>
      <c r="H9" s="3">
        <f t="shared" si="2"/>
        <v>1.2743184831930952</v>
      </c>
      <c r="I9" s="3">
        <f t="shared" si="3"/>
        <v>2.4092357847473211</v>
      </c>
      <c r="J9">
        <f t="shared" si="4"/>
        <v>-24.419187000673492</v>
      </c>
      <c r="K9">
        <f t="shared" si="4"/>
        <v>-306.19426465678856</v>
      </c>
    </row>
    <row r="10" spans="1:13" x14ac:dyDescent="0.2">
      <c r="A10">
        <v>72</v>
      </c>
      <c r="B10">
        <v>174</v>
      </c>
      <c r="C10" s="5">
        <f t="shared" si="5"/>
        <v>1.2743184831930952</v>
      </c>
      <c r="D10" s="5">
        <f t="shared" si="5"/>
        <v>2.4092357847473211</v>
      </c>
      <c r="E10" s="5">
        <f t="shared" si="6"/>
        <v>174.73929498500021</v>
      </c>
      <c r="F10" s="7">
        <f t="shared" si="0"/>
        <v>1.4785899700004279</v>
      </c>
      <c r="G10" s="7">
        <f t="shared" si="1"/>
        <v>106.45847784003081</v>
      </c>
      <c r="H10" s="3">
        <f t="shared" si="2"/>
        <v>1.2765014241234558</v>
      </c>
      <c r="I10" s="3">
        <f t="shared" si="3"/>
        <v>2.4357286837880316</v>
      </c>
      <c r="J10">
        <f t="shared" si="4"/>
        <v>-21.829409303606102</v>
      </c>
      <c r="K10">
        <f t="shared" si="4"/>
        <v>-264.92899040710665</v>
      </c>
    </row>
    <row r="11" spans="1:13" x14ac:dyDescent="0.2">
      <c r="A11">
        <v>62</v>
      </c>
      <c r="B11">
        <v>154</v>
      </c>
      <c r="C11" s="5">
        <f t="shared" si="5"/>
        <v>1.2765014241234558</v>
      </c>
      <c r="D11" s="5">
        <f t="shared" si="5"/>
        <v>2.4357286837880316</v>
      </c>
      <c r="E11" s="5">
        <f t="shared" si="6"/>
        <v>152.29167981898144</v>
      </c>
      <c r="F11" s="7">
        <f t="shared" si="0"/>
        <v>-3.4166403620371284</v>
      </c>
      <c r="G11" s="7">
        <f t="shared" si="1"/>
        <v>-211.83170244630196</v>
      </c>
      <c r="H11" s="3">
        <f t="shared" si="2"/>
        <v>1.2785002373644008</v>
      </c>
      <c r="I11" s="3">
        <f t="shared" si="3"/>
        <v>2.4616906099491342</v>
      </c>
      <c r="J11">
        <f t="shared" si="4"/>
        <v>-19.988132409449207</v>
      </c>
      <c r="K11">
        <f t="shared" si="4"/>
        <v>-259.61926161102622</v>
      </c>
    </row>
    <row r="12" spans="1:13" x14ac:dyDescent="0.2">
      <c r="A12">
        <v>84</v>
      </c>
      <c r="B12">
        <v>198</v>
      </c>
      <c r="C12" s="5">
        <f t="shared" si="5"/>
        <v>1.2785002373644008</v>
      </c>
      <c r="D12" s="5">
        <f t="shared" si="5"/>
        <v>2.4616906099491342</v>
      </c>
      <c r="E12" s="5">
        <f t="shared" si="6"/>
        <v>208.06051147309168</v>
      </c>
      <c r="F12" s="7">
        <f t="shared" si="0"/>
        <v>20.121022946183359</v>
      </c>
      <c r="G12" s="7">
        <f t="shared" si="1"/>
        <v>1690.1659274794022</v>
      </c>
      <c r="H12" s="3">
        <f t="shared" si="2"/>
        <v>1.2800979590517894</v>
      </c>
      <c r="I12" s="3">
        <f t="shared" si="3"/>
        <v>2.4681546842193325</v>
      </c>
      <c r="J12">
        <f t="shared" si="4"/>
        <v>-15.977216873885952</v>
      </c>
      <c r="K12">
        <f t="shared" si="4"/>
        <v>-64.640742701983442</v>
      </c>
    </row>
    <row r="13" spans="1:13" x14ac:dyDescent="0.2">
      <c r="A13">
        <v>15</v>
      </c>
      <c r="B13">
        <v>60</v>
      </c>
      <c r="C13" s="5">
        <f t="shared" si="5"/>
        <v>1.2800979590517894</v>
      </c>
      <c r="D13" s="5">
        <f t="shared" si="5"/>
        <v>2.4681546842193325</v>
      </c>
      <c r="E13" s="5">
        <f t="shared" si="6"/>
        <v>38.302418222341771</v>
      </c>
      <c r="F13" s="7">
        <f t="shared" si="0"/>
        <v>-43.395163555316458</v>
      </c>
      <c r="G13" s="7">
        <f t="shared" si="1"/>
        <v>-650.92745332974687</v>
      </c>
      <c r="H13" s="3">
        <f t="shared" si="2"/>
        <v>1.2819698602059924</v>
      </c>
      <c r="I13" s="3">
        <f t="shared" si="3"/>
        <v>2.4804816255958086</v>
      </c>
      <c r="J13">
        <f t="shared" si="4"/>
        <v>-18.719011542029001</v>
      </c>
      <c r="K13">
        <f t="shared" si="4"/>
        <v>-123.26941376475978</v>
      </c>
    </row>
    <row r="14" spans="1:13" x14ac:dyDescent="0.2">
      <c r="A14">
        <v>42</v>
      </c>
      <c r="B14">
        <v>114</v>
      </c>
      <c r="C14" s="5">
        <f t="shared" si="5"/>
        <v>1.2819698602059924</v>
      </c>
      <c r="D14" s="5">
        <f t="shared" si="5"/>
        <v>2.4804816255958086</v>
      </c>
      <c r="E14" s="5">
        <f t="shared" si="6"/>
        <v>105.46219813522995</v>
      </c>
      <c r="F14" s="7">
        <f t="shared" si="0"/>
        <v>-17.075603729540092</v>
      </c>
      <c r="G14" s="7">
        <f t="shared" si="1"/>
        <v>-717.17535664068384</v>
      </c>
      <c r="H14" s="3">
        <f t="shared" si="2"/>
        <v>1.2838253272820703</v>
      </c>
      <c r="I14" s="3">
        <f t="shared" si="3"/>
        <v>2.4987476264010438</v>
      </c>
      <c r="J14">
        <f t="shared" si="4"/>
        <v>-18.554670760780112</v>
      </c>
      <c r="K14">
        <f t="shared" si="4"/>
        <v>-182.66000805235217</v>
      </c>
    </row>
    <row r="15" spans="1:13" x14ac:dyDescent="0.2">
      <c r="A15">
        <v>62</v>
      </c>
      <c r="B15">
        <v>154</v>
      </c>
      <c r="C15" s="5">
        <f t="shared" si="5"/>
        <v>1.2838253272820703</v>
      </c>
      <c r="D15" s="5">
        <f>I14</f>
        <v>2.4987476264010438</v>
      </c>
      <c r="E15" s="5">
        <f t="shared" si="6"/>
        <v>156.20617816414679</v>
      </c>
      <c r="F15" s="7">
        <f t="shared" si="0"/>
        <v>4.4123563282935834</v>
      </c>
      <c r="G15" s="7">
        <f t="shared" si="1"/>
        <v>273.56609235420217</v>
      </c>
      <c r="H15" s="3">
        <f t="shared" si="2"/>
        <v>1.2854511240872577</v>
      </c>
      <c r="I15" s="3">
        <f t="shared" si="3"/>
        <v>2.5124513662022134</v>
      </c>
      <c r="J15">
        <f t="shared" si="4"/>
        <v>-16.257968051872744</v>
      </c>
      <c r="K15">
        <f t="shared" si="4"/>
        <v>-137.03739801169672</v>
      </c>
    </row>
    <row r="16" spans="1:13" x14ac:dyDescent="0.2">
      <c r="A16">
        <v>47</v>
      </c>
      <c r="B16">
        <v>124</v>
      </c>
      <c r="C16" s="5">
        <f t="shared" si="5"/>
        <v>1.2854511240872577</v>
      </c>
      <c r="D16" s="5">
        <f t="shared" si="5"/>
        <v>2.5124513662022134</v>
      </c>
      <c r="E16" s="5">
        <f t="shared" si="6"/>
        <v>119.3706653355913</v>
      </c>
      <c r="F16" s="7">
        <f t="shared" si="0"/>
        <v>-9.2586693288174047</v>
      </c>
      <c r="G16" s="7">
        <f t="shared" si="1"/>
        <v>-435.15745845441802</v>
      </c>
      <c r="H16" s="3">
        <f t="shared" si="2"/>
        <v>1.2870069279052143</v>
      </c>
      <c r="I16" s="3">
        <f t="shared" si="3"/>
        <v>2.5291363066078105</v>
      </c>
      <c r="J16">
        <f t="shared" si="4"/>
        <v>-15.558038179567211</v>
      </c>
      <c r="K16">
        <f t="shared" si="4"/>
        <v>-166.84940405596885</v>
      </c>
    </row>
    <row r="17" spans="1:11" x14ac:dyDescent="0.2">
      <c r="A17">
        <v>35</v>
      </c>
      <c r="B17">
        <v>100</v>
      </c>
      <c r="C17" s="5">
        <f t="shared" si="5"/>
        <v>1.2870069279052143</v>
      </c>
      <c r="D17" s="5">
        <f t="shared" si="5"/>
        <v>2.5291363066078105</v>
      </c>
      <c r="E17" s="5">
        <f t="shared" si="6"/>
        <v>89.806777659178579</v>
      </c>
      <c r="F17" s="7">
        <f t="shared" si="0"/>
        <v>-20.386444681642843</v>
      </c>
      <c r="G17" s="7">
        <f t="shared" si="1"/>
        <v>-713.52556385749949</v>
      </c>
      <c r="H17" s="3">
        <f t="shared" si="2"/>
        <v>1.2886110157881918</v>
      </c>
      <c r="I17" s="3">
        <f t="shared" si="3"/>
        <v>2.5512880086114227</v>
      </c>
      <c r="J17">
        <f t="shared" si="4"/>
        <v>-16.040878829774776</v>
      </c>
      <c r="K17">
        <f t="shared" si="4"/>
        <v>-221.51702003612189</v>
      </c>
    </row>
    <row r="18" spans="1:11" x14ac:dyDescent="0.2">
      <c r="A18">
        <v>9</v>
      </c>
      <c r="B18">
        <v>48</v>
      </c>
      <c r="C18" s="5">
        <f t="shared" si="5"/>
        <v>1.2886110157881918</v>
      </c>
      <c r="D18" s="5">
        <f t="shared" si="5"/>
        <v>2.5512880086114227</v>
      </c>
      <c r="E18" s="5">
        <f t="shared" si="6"/>
        <v>24.250203093290995</v>
      </c>
      <c r="F18" s="7">
        <f t="shared" si="0"/>
        <v>-47.499593813418009</v>
      </c>
      <c r="G18" s="7">
        <f t="shared" si="1"/>
        <v>-427.49634432076209</v>
      </c>
      <c r="H18" s="3">
        <f t="shared" si="2"/>
        <v>1.2905296908210058</v>
      </c>
      <c r="I18" s="3">
        <f t="shared" si="3"/>
        <v>2.5754995038578814</v>
      </c>
      <c r="J18">
        <f t="shared" si="4"/>
        <v>-19.186750328139098</v>
      </c>
      <c r="K18">
        <f t="shared" si="4"/>
        <v>-242.11495246458591</v>
      </c>
    </row>
    <row r="19" spans="1:11" x14ac:dyDescent="0.2">
      <c r="A19">
        <v>38</v>
      </c>
      <c r="B19">
        <v>106</v>
      </c>
      <c r="C19" s="5">
        <f t="shared" si="5"/>
        <v>1.2905296908210058</v>
      </c>
      <c r="D19" s="5">
        <f t="shared" si="5"/>
        <v>2.5754995038578814</v>
      </c>
      <c r="E19" s="5">
        <f t="shared" si="6"/>
        <v>99.159510837420498</v>
      </c>
      <c r="F19" s="7">
        <f t="shared" si="0"/>
        <v>-13.680978325159003</v>
      </c>
      <c r="G19" s="7">
        <f t="shared" si="1"/>
        <v>-519.87717635604213</v>
      </c>
      <c r="H19" s="3">
        <f t="shared" si="2"/>
        <v>1.2923933081337899</v>
      </c>
      <c r="I19" s="3">
        <f t="shared" si="3"/>
        <v>2.6024886213432548</v>
      </c>
      <c r="J19">
        <f t="shared" si="4"/>
        <v>-18.63617312784109</v>
      </c>
      <c r="K19">
        <f t="shared" si="4"/>
        <v>-269.89117485373151</v>
      </c>
    </row>
    <row r="20" spans="1:11" x14ac:dyDescent="0.2">
      <c r="A20">
        <v>44</v>
      </c>
      <c r="B20">
        <v>118</v>
      </c>
      <c r="C20" s="5">
        <f t="shared" si="5"/>
        <v>1.2923933081337899</v>
      </c>
      <c r="D20" s="5">
        <f t="shared" si="5"/>
        <v>2.6024886213432548</v>
      </c>
      <c r="E20" s="5">
        <f t="shared" si="6"/>
        <v>115.80189264723701</v>
      </c>
      <c r="F20" s="7">
        <f t="shared" si="0"/>
        <v>-4.3962147055259777</v>
      </c>
      <c r="G20" s="7">
        <f t="shared" si="1"/>
        <v>-193.43344704314302</v>
      </c>
      <c r="H20" s="3">
        <f t="shared" si="2"/>
        <v>1.294114525862351</v>
      </c>
      <c r="I20" s="3">
        <f t="shared" si="3"/>
        <v>2.6287131615505221</v>
      </c>
      <c r="J20">
        <f t="shared" si="4"/>
        <v>-17.212177285609581</v>
      </c>
      <c r="K20">
        <f t="shared" si="4"/>
        <v>-262.24540207267268</v>
      </c>
    </row>
    <row r="21" spans="1:11" x14ac:dyDescent="0.2">
      <c r="A21">
        <v>99</v>
      </c>
      <c r="B21">
        <v>228</v>
      </c>
      <c r="C21" s="5">
        <f t="shared" si="5"/>
        <v>1.294114525862351</v>
      </c>
      <c r="D21" s="5">
        <f t="shared" si="5"/>
        <v>2.6287131615505221</v>
      </c>
      <c r="E21" s="5">
        <f t="shared" si="6"/>
        <v>261.53671751936406</v>
      </c>
      <c r="F21" s="7">
        <f t="shared" si="0"/>
        <v>67.073435038728121</v>
      </c>
      <c r="G21" s="7">
        <f t="shared" si="1"/>
        <v>6640.2700688340838</v>
      </c>
      <c r="H21" s="3">
        <f t="shared" si="2"/>
        <v>1.2949928874676686</v>
      </c>
      <c r="I21" s="3">
        <f t="shared" si="3"/>
        <v>2.5859125470487219</v>
      </c>
      <c r="J21">
        <f t="shared" ref="J21:K32" si="7">J20*$J$1+$K$1*F21</f>
        <v>-8.7836160531758125</v>
      </c>
      <c r="K21">
        <f t="shared" si="7"/>
        <v>428.00614501800283</v>
      </c>
    </row>
    <row r="22" spans="1:11" x14ac:dyDescent="0.2">
      <c r="A22">
        <v>13</v>
      </c>
      <c r="B22">
        <v>56</v>
      </c>
      <c r="C22" s="5">
        <f t="shared" si="5"/>
        <v>1.2949928874676686</v>
      </c>
      <c r="D22" s="5">
        <f t="shared" si="5"/>
        <v>2.5859125470487219</v>
      </c>
      <c r="E22" s="5">
        <f t="shared" si="6"/>
        <v>34.911855999101057</v>
      </c>
      <c r="F22" s="7">
        <f t="shared" si="0"/>
        <v>-42.176288001797886</v>
      </c>
      <c r="G22" s="7">
        <f t="shared" si="1"/>
        <v>-548.29174402337253</v>
      </c>
      <c r="H22" s="3">
        <f t="shared" si="2"/>
        <v>1.2962051757924724</v>
      </c>
      <c r="I22" s="3">
        <f t="shared" si="3"/>
        <v>2.5528749114373355</v>
      </c>
      <c r="J22">
        <f t="shared" si="7"/>
        <v>-12.122883248038018</v>
      </c>
      <c r="K22">
        <f t="shared" si="7"/>
        <v>330.37635611386531</v>
      </c>
    </row>
    <row r="23" spans="1:11" x14ac:dyDescent="0.2">
      <c r="A23">
        <v>21</v>
      </c>
      <c r="B23">
        <v>72</v>
      </c>
      <c r="C23" s="5">
        <f t="shared" si="5"/>
        <v>1.2962051757924724</v>
      </c>
      <c r="D23" s="5">
        <f t="shared" si="5"/>
        <v>2.5528749114373355</v>
      </c>
      <c r="E23" s="5">
        <f t="shared" si="6"/>
        <v>54.906578315976518</v>
      </c>
      <c r="F23" s="7">
        <f t="shared" si="0"/>
        <v>-34.186843368046965</v>
      </c>
      <c r="G23" s="7">
        <f t="shared" si="1"/>
        <v>-717.92371072898629</v>
      </c>
      <c r="H23" s="3">
        <f t="shared" si="2"/>
        <v>1.2976381037184763</v>
      </c>
      <c r="I23" s="3">
        <f t="shared" si="3"/>
        <v>2.5303202764943773</v>
      </c>
      <c r="J23">
        <f t="shared" si="7"/>
        <v>-14.329279260038913</v>
      </c>
      <c r="K23">
        <f t="shared" si="7"/>
        <v>225.54634942958018</v>
      </c>
    </row>
    <row r="24" spans="1:11" x14ac:dyDescent="0.2">
      <c r="A24">
        <v>28</v>
      </c>
      <c r="B24">
        <v>86</v>
      </c>
      <c r="C24" s="5">
        <f t="shared" si="5"/>
        <v>1.2976381037184763</v>
      </c>
      <c r="D24" s="5">
        <f t="shared" si="5"/>
        <v>2.5303202764943773</v>
      </c>
      <c r="E24" s="5">
        <f t="shared" si="6"/>
        <v>72.146605845561027</v>
      </c>
      <c r="F24" s="7">
        <f t="shared" si="0"/>
        <v>-27.706788308877947</v>
      </c>
      <c r="G24" s="7">
        <f t="shared" si="1"/>
        <v>-775.79007264858251</v>
      </c>
      <c r="H24" s="3">
        <f t="shared" si="2"/>
        <v>1.2992048067349686</v>
      </c>
      <c r="I24" s="3">
        <f t="shared" si="3"/>
        <v>2.5177790057722009</v>
      </c>
      <c r="J24">
        <f t="shared" si="7"/>
        <v>-15.667030164922815</v>
      </c>
      <c r="K24">
        <f t="shared" si="7"/>
        <v>125.41270722176392</v>
      </c>
    </row>
    <row r="25" spans="1:11" x14ac:dyDescent="0.2">
      <c r="A25">
        <v>20</v>
      </c>
      <c r="B25">
        <v>70</v>
      </c>
      <c r="C25" s="5">
        <f t="shared" si="5"/>
        <v>1.2992048067349686</v>
      </c>
      <c r="D25" s="5">
        <f t="shared" si="5"/>
        <v>2.5177790057722009</v>
      </c>
      <c r="E25" s="5">
        <f t="shared" si="6"/>
        <v>51.65478492217899</v>
      </c>
      <c r="F25" s="7">
        <f t="shared" si="0"/>
        <v>-36.690430155642019</v>
      </c>
      <c r="G25" s="7">
        <f t="shared" si="1"/>
        <v>-733.80860311284039</v>
      </c>
      <c r="H25" s="3">
        <f t="shared" si="2"/>
        <v>1.3009817437513682</v>
      </c>
      <c r="I25" s="3">
        <f t="shared" si="3"/>
        <v>2.5138299481533708</v>
      </c>
      <c r="J25">
        <f t="shared" si="7"/>
        <v>-17.769370163994736</v>
      </c>
      <c r="K25">
        <f t="shared" si="7"/>
        <v>39.490576188303507</v>
      </c>
    </row>
    <row r="26" spans="1:11" x14ac:dyDescent="0.2">
      <c r="A26">
        <v>8</v>
      </c>
      <c r="B26">
        <v>46</v>
      </c>
      <c r="C26" s="5">
        <f t="shared" si="5"/>
        <v>1.3009817437513682</v>
      </c>
      <c r="D26" s="5">
        <f t="shared" si="5"/>
        <v>2.5138299481533708</v>
      </c>
      <c r="E26" s="5">
        <f t="shared" si="6"/>
        <v>21.411621328978335</v>
      </c>
      <c r="F26" s="7">
        <f t="shared" si="0"/>
        <v>-49.176757342043331</v>
      </c>
      <c r="G26" s="7">
        <f t="shared" si="1"/>
        <v>-393.41405873634665</v>
      </c>
      <c r="H26" s="3">
        <f t="shared" si="2"/>
        <v>1.3030727546395482</v>
      </c>
      <c r="I26" s="3">
        <f t="shared" si="3"/>
        <v>2.5142099368837871</v>
      </c>
      <c r="J26">
        <f t="shared" si="7"/>
        <v>-20.910108881799594</v>
      </c>
      <c r="K26">
        <f t="shared" si="7"/>
        <v>-3.7998873041615013</v>
      </c>
    </row>
    <row r="27" spans="1:11" x14ac:dyDescent="0.2">
      <c r="A27">
        <v>64</v>
      </c>
      <c r="B27">
        <v>158</v>
      </c>
      <c r="C27" s="5">
        <f t="shared" si="5"/>
        <v>1.3030727546395482</v>
      </c>
      <c r="D27" s="5">
        <f t="shared" si="5"/>
        <v>2.5142099368837871</v>
      </c>
      <c r="E27" s="5">
        <f t="shared" si="6"/>
        <v>162.21250871520192</v>
      </c>
      <c r="F27" s="7">
        <f t="shared" si="0"/>
        <v>8.425017430403841</v>
      </c>
      <c r="G27" s="7">
        <f t="shared" si="1"/>
        <v>539.20111554584582</v>
      </c>
      <c r="H27" s="3">
        <f t="shared" si="2"/>
        <v>1.3048704142646061</v>
      </c>
      <c r="I27" s="3">
        <f t="shared" si="3"/>
        <v>2.5091599155857032</v>
      </c>
      <c r="J27">
        <f t="shared" si="7"/>
        <v>-17.976596250579252</v>
      </c>
      <c r="K27">
        <f t="shared" si="7"/>
        <v>50.500212980839223</v>
      </c>
    </row>
    <row r="28" spans="1:11" x14ac:dyDescent="0.2">
      <c r="A28">
        <v>99</v>
      </c>
      <c r="B28">
        <v>228</v>
      </c>
      <c r="C28" s="5">
        <f t="shared" si="5"/>
        <v>1.3048704142646061</v>
      </c>
      <c r="D28" s="5">
        <f t="shared" si="5"/>
        <v>2.5091599155857032</v>
      </c>
      <c r="E28" s="5">
        <f t="shared" si="6"/>
        <v>249.71170205724923</v>
      </c>
      <c r="F28" s="7">
        <f t="shared" si="0"/>
        <v>43.423404114498453</v>
      </c>
      <c r="G28" s="7">
        <f t="shared" si="1"/>
        <v>4298.9170073353471</v>
      </c>
      <c r="H28" s="3">
        <f t="shared" si="2"/>
        <v>1.3060540738860134</v>
      </c>
      <c r="I28" s="3">
        <f t="shared" si="3"/>
        <v>2.4616257263440744</v>
      </c>
      <c r="J28">
        <f t="shared" si="7"/>
        <v>-11.836596214071484</v>
      </c>
      <c r="K28">
        <f t="shared" si="7"/>
        <v>475.34189241628991</v>
      </c>
    </row>
    <row r="29" spans="1:11" x14ac:dyDescent="0.2">
      <c r="A29">
        <v>70</v>
      </c>
      <c r="B29">
        <v>170</v>
      </c>
      <c r="C29" s="5">
        <f t="shared" si="5"/>
        <v>1.3060540738860134</v>
      </c>
      <c r="D29" s="5">
        <f t="shared" si="5"/>
        <v>2.4616257263440744</v>
      </c>
      <c r="E29" s="5">
        <f t="shared" si="6"/>
        <v>173.61985491797122</v>
      </c>
      <c r="F29" s="7">
        <f t="shared" si="0"/>
        <v>7.239709835942449</v>
      </c>
      <c r="G29" s="7">
        <f t="shared" si="1"/>
        <v>506.77968851597143</v>
      </c>
      <c r="H29" s="3">
        <f t="shared" si="2"/>
        <v>1.3070469704469203</v>
      </c>
      <c r="I29" s="3">
        <f t="shared" si="3"/>
        <v>2.4137771591414485</v>
      </c>
      <c r="J29">
        <f t="shared" si="7"/>
        <v>-9.9289656090700902</v>
      </c>
      <c r="K29">
        <f t="shared" si="7"/>
        <v>478.48567202625804</v>
      </c>
    </row>
    <row r="30" spans="1:11" x14ac:dyDescent="0.2">
      <c r="A30">
        <v>27</v>
      </c>
      <c r="B30">
        <v>84</v>
      </c>
      <c r="C30" s="5">
        <f t="shared" si="5"/>
        <v>1.3070469704469203</v>
      </c>
      <c r="D30" s="5">
        <f t="shared" si="5"/>
        <v>2.4137771591414485</v>
      </c>
      <c r="E30" s="5">
        <f t="shared" si="6"/>
        <v>66.479030267266026</v>
      </c>
      <c r="F30" s="7">
        <f t="shared" si="0"/>
        <v>-35.041939465467948</v>
      </c>
      <c r="G30" s="7">
        <f t="shared" si="1"/>
        <v>-946.13236556763457</v>
      </c>
      <c r="H30" s="3">
        <f t="shared" si="2"/>
        <v>1.3082909967463914</v>
      </c>
      <c r="I30" s="3">
        <f t="shared" si="3"/>
        <v>2.3801747723147617</v>
      </c>
      <c r="J30">
        <f t="shared" si="7"/>
        <v>-12.440262994709876</v>
      </c>
      <c r="K30">
        <f t="shared" si="7"/>
        <v>336.02386826686882</v>
      </c>
    </row>
    <row r="31" spans="1:11" x14ac:dyDescent="0.2">
      <c r="A31">
        <v>17</v>
      </c>
      <c r="B31">
        <v>64</v>
      </c>
      <c r="C31" s="5">
        <f t="shared" si="5"/>
        <v>1.3082909967463914</v>
      </c>
      <c r="D31" s="5">
        <f t="shared" si="5"/>
        <v>2.3801747723147617</v>
      </c>
      <c r="E31" s="5">
        <f t="shared" si="6"/>
        <v>41.771262126097341</v>
      </c>
      <c r="F31" s="7">
        <f t="shared" si="0"/>
        <v>-44.457475747805319</v>
      </c>
      <c r="G31" s="7">
        <f t="shared" si="1"/>
        <v>-755.77708771269045</v>
      </c>
      <c r="H31" s="3">
        <f t="shared" si="2"/>
        <v>1.3098551951733932</v>
      </c>
      <c r="I31" s="3">
        <f t="shared" si="3"/>
        <v>2.3574903950478703</v>
      </c>
      <c r="J31">
        <f t="shared" si="7"/>
        <v>-15.641984270019421</v>
      </c>
      <c r="K31">
        <f t="shared" si="7"/>
        <v>226.84377266891289</v>
      </c>
    </row>
    <row r="32" spans="1:11" x14ac:dyDescent="0.2">
      <c r="A32">
        <v>8</v>
      </c>
      <c r="B32">
        <v>46</v>
      </c>
      <c r="C32" s="5">
        <f t="shared" si="5"/>
        <v>1.3098551951733932</v>
      </c>
      <c r="D32" s="5">
        <f t="shared" si="5"/>
        <v>2.3574903950478703</v>
      </c>
      <c r="E32" s="5">
        <f t="shared" si="6"/>
        <v>20.169778355556357</v>
      </c>
      <c r="F32" s="7">
        <f t="shared" si="0"/>
        <v>-51.660443288887286</v>
      </c>
      <c r="G32" s="7">
        <f t="shared" si="1"/>
        <v>-413.28354631109829</v>
      </c>
      <c r="H32" s="3">
        <f t="shared" si="2"/>
        <v>1.3117795781905839</v>
      </c>
      <c r="I32" s="3">
        <f t="shared" si="3"/>
        <v>2.3412072909707793</v>
      </c>
      <c r="J32">
        <f t="shared" si="7"/>
        <v>-19.243830171906204</v>
      </c>
      <c r="K32">
        <f t="shared" si="7"/>
        <v>162.83104077091178</v>
      </c>
    </row>
    <row r="33" spans="1:13" x14ac:dyDescent="0.2">
      <c r="A33" s="7"/>
      <c r="B33" s="7"/>
      <c r="H33" s="3"/>
      <c r="J33">
        <v>-19.279531290451075</v>
      </c>
      <c r="K33">
        <v>162.8396203477341</v>
      </c>
      <c r="M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momentum.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47106" r:id="rId4" name="Button 2">
              <controlPr defaultSize="0" print="0" autoFill="0" autoPict="0" macro="[0]!momentum.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dagrad"/>
  <dimension ref="A1:K33"/>
  <sheetViews>
    <sheetView zoomScale="120" zoomScaleNormal="130" workbookViewId="0">
      <pane xSplit="3" ySplit="3" topLeftCell="D11"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2" max="2" width="6.33203125" customWidth="1"/>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0" width="1.83203125" bestFit="1" customWidth="1"/>
    <col min="11" max="11" width="4.1640625" bestFit="1" customWidth="1"/>
  </cols>
  <sheetData>
    <row r="1" spans="1:9" x14ac:dyDescent="0.2">
      <c r="B1" s="11" t="s">
        <v>21</v>
      </c>
      <c r="C1" s="5">
        <v>18.010899129214945</v>
      </c>
      <c r="D1" s="12" t="s">
        <v>14</v>
      </c>
      <c r="F1" s="7">
        <v>2.4732680321894231</v>
      </c>
      <c r="G1" s="7">
        <v>105.12925181546979</v>
      </c>
    </row>
    <row r="2" spans="1:9" x14ac:dyDescent="0.2">
      <c r="B2" s="11" t="s">
        <v>22</v>
      </c>
      <c r="C2" s="5">
        <v>2.1967341791998956</v>
      </c>
      <c r="D2">
        <v>1E-3</v>
      </c>
      <c r="F2" s="9">
        <f>$D$2/F1</f>
        <v>4.0432334344076937E-4</v>
      </c>
      <c r="G2" s="9">
        <f>$D$2/G1</f>
        <v>9.5121004166877363E-6</v>
      </c>
    </row>
    <row r="3" spans="1:9" s="2" customFormat="1" x14ac:dyDescent="0.2">
      <c r="A3" s="2" t="s">
        <v>15</v>
      </c>
      <c r="B3" s="2" t="s">
        <v>16</v>
      </c>
      <c r="C3" s="6" t="s">
        <v>21</v>
      </c>
      <c r="D3" s="6" t="s">
        <v>22</v>
      </c>
      <c r="E3" s="6" t="s">
        <v>18</v>
      </c>
      <c r="F3" s="8" t="s">
        <v>6</v>
      </c>
      <c r="G3" s="8" t="s">
        <v>9</v>
      </c>
      <c r="H3" s="2" t="s">
        <v>13</v>
      </c>
      <c r="I3" s="2" t="s">
        <v>12</v>
      </c>
    </row>
    <row r="4" spans="1:9" x14ac:dyDescent="0.2">
      <c r="A4">
        <v>14</v>
      </c>
      <c r="B4">
        <v>58</v>
      </c>
      <c r="C4" s="5">
        <f>C1</f>
        <v>18.010899129214945</v>
      </c>
      <c r="D4" s="5">
        <f>C2</f>
        <v>2.1967341791998956</v>
      </c>
      <c r="E4" s="5">
        <f>C4+D4*A4</f>
        <v>48.765177638013483</v>
      </c>
      <c r="F4" s="7">
        <f t="shared" ref="F4:F32" si="0">2*(D4*A4+C4-B4)</f>
        <v>-18.469644723973033</v>
      </c>
      <c r="G4" s="7">
        <f t="shared" ref="G4:G32" si="1">F4*A4</f>
        <v>-258.57502613562247</v>
      </c>
      <c r="H4" s="3">
        <f t="shared" ref="H4:H32" si="2">C4-F4*F$2</f>
        <v>18.018366837721906</v>
      </c>
      <c r="I4" s="3">
        <f t="shared" ref="I4:I32" si="3">D4-G4*G$2</f>
        <v>2.1991937708137455</v>
      </c>
    </row>
    <row r="5" spans="1:9" x14ac:dyDescent="0.2">
      <c r="A5">
        <v>86</v>
      </c>
      <c r="B5">
        <v>202</v>
      </c>
      <c r="C5" s="5">
        <f>H4</f>
        <v>18.018366837721906</v>
      </c>
      <c r="D5" s="5">
        <f>I4</f>
        <v>2.1991937708137455</v>
      </c>
      <c r="E5" s="5">
        <f>C5+D5*A5</f>
        <v>207.14903112770403</v>
      </c>
      <c r="F5" s="7">
        <f t="shared" si="0"/>
        <v>10.29806225540807</v>
      </c>
      <c r="G5" s="7">
        <f t="shared" si="1"/>
        <v>885.63335396509399</v>
      </c>
      <c r="H5" s="3">
        <f t="shared" si="2"/>
        <v>18.014203090759839</v>
      </c>
      <c r="I5" s="3">
        <f t="shared" si="3"/>
        <v>2.1907695374184617</v>
      </c>
    </row>
    <row r="6" spans="1:9" x14ac:dyDescent="0.2">
      <c r="A6">
        <v>28</v>
      </c>
      <c r="B6">
        <v>86</v>
      </c>
      <c r="C6" s="5">
        <f>H5</f>
        <v>18.014203090759839</v>
      </c>
      <c r="D6" s="5">
        <f>I5</f>
        <v>2.1907695374184617</v>
      </c>
      <c r="E6" s="5">
        <f>C6+D6*A6</f>
        <v>79.355750138476765</v>
      </c>
      <c r="F6" s="7">
        <f t="shared" si="0"/>
        <v>-13.288499723046471</v>
      </c>
      <c r="G6" s="7">
        <f t="shared" si="1"/>
        <v>-372.07799224530117</v>
      </c>
      <c r="H6" s="3">
        <f>C6-F6*F$2</f>
        <v>18.019575941397171</v>
      </c>
      <c r="I6" s="3">
        <f t="shared" si="3"/>
        <v>2.1943087806435386</v>
      </c>
    </row>
    <row r="7" spans="1:9" x14ac:dyDescent="0.2">
      <c r="A7">
        <v>51</v>
      </c>
      <c r="B7">
        <v>132</v>
      </c>
      <c r="C7" s="5">
        <f t="shared" ref="C7:C32" si="4">H6</f>
        <v>18.019575941397171</v>
      </c>
      <c r="D7" s="5">
        <f t="shared" ref="D7:D32" si="5">I6</f>
        <v>2.1943087806435386</v>
      </c>
      <c r="E7" s="5">
        <f t="shared" ref="E7:E32" si="6">C7+D7*A7</f>
        <v>129.92932375421765</v>
      </c>
      <c r="F7" s="7">
        <f t="shared" si="0"/>
        <v>-4.1413524915647031</v>
      </c>
      <c r="G7" s="7">
        <f t="shared" si="1"/>
        <v>-211.20897706979986</v>
      </c>
      <c r="H7" s="3">
        <f t="shared" si="2"/>
        <v>18.021250386882926</v>
      </c>
      <c r="I7" s="3">
        <f t="shared" si="3"/>
        <v>2.1963178216423325</v>
      </c>
    </row>
    <row r="8" spans="1:9" x14ac:dyDescent="0.2">
      <c r="A8">
        <v>28</v>
      </c>
      <c r="B8">
        <v>86</v>
      </c>
      <c r="C8" s="5">
        <f t="shared" si="4"/>
        <v>18.021250386882926</v>
      </c>
      <c r="D8" s="5">
        <f t="shared" si="5"/>
        <v>2.1963178216423325</v>
      </c>
      <c r="E8" s="5">
        <f t="shared" si="6"/>
        <v>79.518149392868239</v>
      </c>
      <c r="F8" s="7">
        <f t="shared" si="0"/>
        <v>-12.963701214263523</v>
      </c>
      <c r="G8" s="7">
        <f t="shared" si="1"/>
        <v>-362.98363399937864</v>
      </c>
      <c r="H8" s="3">
        <f t="shared" si="2"/>
        <v>18.026491913901243</v>
      </c>
      <c r="I8" s="3">
        <f t="shared" si="3"/>
        <v>2.1997705584185487</v>
      </c>
    </row>
    <row r="9" spans="1:9" x14ac:dyDescent="0.2">
      <c r="A9">
        <v>29</v>
      </c>
      <c r="B9">
        <v>88</v>
      </c>
      <c r="C9" s="5">
        <f t="shared" si="4"/>
        <v>18.026491913901243</v>
      </c>
      <c r="D9" s="5">
        <f t="shared" si="5"/>
        <v>2.1997705584185487</v>
      </c>
      <c r="E9" s="5">
        <f t="shared" si="6"/>
        <v>81.81983810803915</v>
      </c>
      <c r="F9" s="7">
        <f t="shared" si="0"/>
        <v>-12.3603237839217</v>
      </c>
      <c r="G9" s="7">
        <f t="shared" si="1"/>
        <v>-358.44938973372928</v>
      </c>
      <c r="H9" s="3">
        <f t="shared" si="2"/>
        <v>18.03148948133957</v>
      </c>
      <c r="I9" s="3">
        <f t="shared" si="3"/>
        <v>2.2031801650079963</v>
      </c>
    </row>
    <row r="10" spans="1:9" x14ac:dyDescent="0.2">
      <c r="A10">
        <v>72</v>
      </c>
      <c r="B10">
        <v>174</v>
      </c>
      <c r="C10" s="5">
        <f t="shared" si="4"/>
        <v>18.03148948133957</v>
      </c>
      <c r="D10" s="5">
        <f t="shared" si="5"/>
        <v>2.2031801650079963</v>
      </c>
      <c r="E10" s="5">
        <f t="shared" si="6"/>
        <v>176.66046136191531</v>
      </c>
      <c r="F10" s="7">
        <f t="shared" si="0"/>
        <v>5.3209227238306198</v>
      </c>
      <c r="G10" s="7">
        <f t="shared" si="1"/>
        <v>383.10643611580463</v>
      </c>
      <c r="H10" s="3">
        <f t="shared" si="2"/>
        <v>18.029338108073681</v>
      </c>
      <c r="I10" s="3">
        <f t="shared" si="3"/>
        <v>2.1995360181173833</v>
      </c>
    </row>
    <row r="11" spans="1:9" x14ac:dyDescent="0.2">
      <c r="A11">
        <v>62</v>
      </c>
      <c r="B11">
        <v>154</v>
      </c>
      <c r="C11" s="5">
        <f t="shared" si="4"/>
        <v>18.029338108073681</v>
      </c>
      <c r="D11" s="5">
        <f t="shared" si="5"/>
        <v>2.1995360181173833</v>
      </c>
      <c r="E11" s="5">
        <f t="shared" si="6"/>
        <v>154.40057123135145</v>
      </c>
      <c r="F11" s="7">
        <f t="shared" si="0"/>
        <v>0.80114246270289868</v>
      </c>
      <c r="G11" s="7">
        <f t="shared" si="1"/>
        <v>49.670832687579718</v>
      </c>
      <c r="H11" s="3">
        <f t="shared" si="2"/>
        <v>18.029014187474587</v>
      </c>
      <c r="I11" s="3">
        <f t="shared" si="3"/>
        <v>2.1990635441690785</v>
      </c>
    </row>
    <row r="12" spans="1:9" x14ac:dyDescent="0.2">
      <c r="A12">
        <v>84</v>
      </c>
      <c r="B12">
        <v>198</v>
      </c>
      <c r="C12" s="5">
        <f t="shared" si="4"/>
        <v>18.029014187474587</v>
      </c>
      <c r="D12" s="5">
        <f t="shared" si="5"/>
        <v>2.1990635441690785</v>
      </c>
      <c r="E12" s="5">
        <f t="shared" si="6"/>
        <v>202.75035189767718</v>
      </c>
      <c r="F12" s="7">
        <f t="shared" si="0"/>
        <v>9.5007037953543545</v>
      </c>
      <c r="G12" s="7">
        <f t="shared" si="1"/>
        <v>798.05911880976578</v>
      </c>
      <c r="H12" s="3">
        <f t="shared" si="2"/>
        <v>18.025172831151011</v>
      </c>
      <c r="I12" s="3">
        <f t="shared" si="3"/>
        <v>2.1914723256925068</v>
      </c>
    </row>
    <row r="13" spans="1:9" x14ac:dyDescent="0.2">
      <c r="A13">
        <v>15</v>
      </c>
      <c r="B13">
        <v>60</v>
      </c>
      <c r="C13" s="5">
        <f t="shared" si="4"/>
        <v>18.025172831151011</v>
      </c>
      <c r="D13" s="5">
        <f t="shared" si="5"/>
        <v>2.1914723256925068</v>
      </c>
      <c r="E13" s="5">
        <f t="shared" si="6"/>
        <v>50.897257716538611</v>
      </c>
      <c r="F13" s="7">
        <f t="shared" si="0"/>
        <v>-18.205484566922777</v>
      </c>
      <c r="G13" s="7">
        <f t="shared" si="1"/>
        <v>-273.08226850384165</v>
      </c>
      <c r="H13" s="3">
        <f t="shared" si="2"/>
        <v>18.032533733540067</v>
      </c>
      <c r="I13" s="3">
        <f t="shared" si="3"/>
        <v>2.1940699116525324</v>
      </c>
    </row>
    <row r="14" spans="1:9" x14ac:dyDescent="0.2">
      <c r="A14">
        <v>42</v>
      </c>
      <c r="B14">
        <v>114</v>
      </c>
      <c r="C14" s="5">
        <f t="shared" si="4"/>
        <v>18.032533733540067</v>
      </c>
      <c r="D14" s="5">
        <f t="shared" si="5"/>
        <v>2.1940699116525324</v>
      </c>
      <c r="E14" s="5">
        <f t="shared" si="6"/>
        <v>110.18347002294642</v>
      </c>
      <c r="F14" s="7">
        <f t="shared" si="0"/>
        <v>-7.6330599541071535</v>
      </c>
      <c r="G14" s="7">
        <f t="shared" si="1"/>
        <v>-320.58851807250045</v>
      </c>
      <c r="H14" s="3">
        <f t="shared" si="2"/>
        <v>18.035619957861396</v>
      </c>
      <c r="I14" s="3">
        <f t="shared" si="3"/>
        <v>2.197119381828875</v>
      </c>
    </row>
    <row r="15" spans="1:9" x14ac:dyDescent="0.2">
      <c r="A15">
        <v>62</v>
      </c>
      <c r="B15">
        <v>154</v>
      </c>
      <c r="C15" s="5">
        <f t="shared" si="4"/>
        <v>18.035619957861396</v>
      </c>
      <c r="D15" s="5">
        <f>I14</f>
        <v>2.197119381828875</v>
      </c>
      <c r="E15" s="5">
        <f t="shared" si="6"/>
        <v>154.25702163125166</v>
      </c>
      <c r="F15" s="7">
        <f t="shared" si="0"/>
        <v>0.51404326250332133</v>
      </c>
      <c r="G15" s="7">
        <f t="shared" si="1"/>
        <v>31.870682275205922</v>
      </c>
      <c r="H15" s="3">
        <f t="shared" si="2"/>
        <v>18.035412118170829</v>
      </c>
      <c r="I15" s="3">
        <f t="shared" si="3"/>
        <v>2.1968162246987251</v>
      </c>
    </row>
    <row r="16" spans="1:9" x14ac:dyDescent="0.2">
      <c r="A16">
        <v>47</v>
      </c>
      <c r="B16">
        <v>124</v>
      </c>
      <c r="C16" s="5">
        <f t="shared" si="4"/>
        <v>18.035412118170829</v>
      </c>
      <c r="D16" s="5">
        <f t="shared" si="5"/>
        <v>2.1968162246987251</v>
      </c>
      <c r="E16" s="5">
        <f t="shared" si="6"/>
        <v>121.2857746790109</v>
      </c>
      <c r="F16" s="7">
        <f t="shared" si="0"/>
        <v>-5.4284506419782019</v>
      </c>
      <c r="G16" s="7">
        <f t="shared" si="1"/>
        <v>-255.13718017297549</v>
      </c>
      <c r="H16" s="3">
        <f t="shared" si="2"/>
        <v>18.037606967484095</v>
      </c>
      <c r="I16" s="3">
        <f t="shared" si="3"/>
        <v>2.1992431151765608</v>
      </c>
    </row>
    <row r="17" spans="1:9" x14ac:dyDescent="0.2">
      <c r="A17">
        <v>35</v>
      </c>
      <c r="B17">
        <v>100</v>
      </c>
      <c r="C17" s="5">
        <f t="shared" si="4"/>
        <v>18.037606967484095</v>
      </c>
      <c r="D17" s="5">
        <f t="shared" si="5"/>
        <v>2.1992431151765608</v>
      </c>
      <c r="E17" s="5">
        <f t="shared" si="6"/>
        <v>95.011115998663726</v>
      </c>
      <c r="F17" s="7">
        <f t="shared" si="0"/>
        <v>-9.9777680026725477</v>
      </c>
      <c r="G17" s="7">
        <f t="shared" si="1"/>
        <v>-349.2218800935392</v>
      </c>
      <c r="H17" s="3">
        <f t="shared" si="2"/>
        <v>18.041641212003011</v>
      </c>
      <c r="I17" s="3">
        <f t="shared" si="3"/>
        <v>2.2025649487677148</v>
      </c>
    </row>
    <row r="18" spans="1:9" x14ac:dyDescent="0.2">
      <c r="A18">
        <v>9</v>
      </c>
      <c r="B18">
        <v>48</v>
      </c>
      <c r="C18" s="5">
        <f t="shared" si="4"/>
        <v>18.041641212003011</v>
      </c>
      <c r="D18" s="5">
        <f t="shared" si="5"/>
        <v>2.2025649487677148</v>
      </c>
      <c r="E18" s="5">
        <f t="shared" si="6"/>
        <v>37.864725750912442</v>
      </c>
      <c r="F18" s="7">
        <f t="shared" si="0"/>
        <v>-20.270548498175117</v>
      </c>
      <c r="G18" s="7">
        <f t="shared" si="1"/>
        <v>-182.43493648357605</v>
      </c>
      <c r="H18" s="3">
        <f t="shared" si="2"/>
        <v>18.04983706794517</v>
      </c>
      <c r="I18" s="3">
        <f t="shared" si="3"/>
        <v>2.2043002882030587</v>
      </c>
    </row>
    <row r="19" spans="1:9" x14ac:dyDescent="0.2">
      <c r="A19">
        <v>38</v>
      </c>
      <c r="B19">
        <v>106</v>
      </c>
      <c r="C19" s="5">
        <f t="shared" si="4"/>
        <v>18.04983706794517</v>
      </c>
      <c r="D19" s="5">
        <f t="shared" si="5"/>
        <v>2.2043002882030587</v>
      </c>
      <c r="E19" s="5">
        <f t="shared" si="6"/>
        <v>101.81324801966139</v>
      </c>
      <c r="F19" s="7">
        <f t="shared" si="0"/>
        <v>-8.3735039606772261</v>
      </c>
      <c r="G19" s="7">
        <f t="shared" si="1"/>
        <v>-318.19315050573459</v>
      </c>
      <c r="H19" s="3">
        <f t="shared" si="2"/>
        <v>18.053222671062866</v>
      </c>
      <c r="I19" s="3">
        <f t="shared" si="3"/>
        <v>2.2073269734025716</v>
      </c>
    </row>
    <row r="20" spans="1:9" x14ac:dyDescent="0.2">
      <c r="A20">
        <v>44</v>
      </c>
      <c r="B20">
        <v>118</v>
      </c>
      <c r="C20" s="5">
        <f t="shared" si="4"/>
        <v>18.053222671062866</v>
      </c>
      <c r="D20" s="5">
        <f t="shared" si="5"/>
        <v>2.2073269734025716</v>
      </c>
      <c r="E20" s="5">
        <f t="shared" si="6"/>
        <v>115.17560950077602</v>
      </c>
      <c r="F20" s="7">
        <f t="shared" si="0"/>
        <v>-5.6487809984479611</v>
      </c>
      <c r="G20" s="7">
        <f t="shared" si="1"/>
        <v>-248.54636393171029</v>
      </c>
      <c r="H20" s="3">
        <f t="shared" si="2"/>
        <v>18.055506605082524</v>
      </c>
      <c r="I20" s="3">
        <f t="shared" si="3"/>
        <v>2.2096911713744927</v>
      </c>
    </row>
    <row r="21" spans="1:9" x14ac:dyDescent="0.2">
      <c r="A21">
        <v>99</v>
      </c>
      <c r="B21">
        <v>228</v>
      </c>
      <c r="C21" s="5">
        <f t="shared" si="4"/>
        <v>18.055506605082524</v>
      </c>
      <c r="D21" s="5">
        <f t="shared" si="5"/>
        <v>2.2096911713744927</v>
      </c>
      <c r="E21" s="5">
        <f t="shared" si="6"/>
        <v>236.8149325711573</v>
      </c>
      <c r="F21" s="7">
        <f t="shared" si="0"/>
        <v>17.6298651423146</v>
      </c>
      <c r="G21" s="7">
        <f t="shared" si="1"/>
        <v>1745.3566490891453</v>
      </c>
      <c r="H21" s="3">
        <f t="shared" si="2"/>
        <v>18.048378439063775</v>
      </c>
      <c r="I21" s="3">
        <f t="shared" si="3"/>
        <v>2.1930891636654231</v>
      </c>
    </row>
    <row r="22" spans="1:9" x14ac:dyDescent="0.2">
      <c r="A22">
        <v>13</v>
      </c>
      <c r="B22">
        <v>56</v>
      </c>
      <c r="C22" s="5">
        <f t="shared" si="4"/>
        <v>18.048378439063775</v>
      </c>
      <c r="D22" s="5">
        <f t="shared" si="5"/>
        <v>2.1930891636654231</v>
      </c>
      <c r="E22" s="5">
        <f t="shared" si="6"/>
        <v>46.558537566714278</v>
      </c>
      <c r="F22" s="7">
        <f t="shared" si="0"/>
        <v>-18.882924866571443</v>
      </c>
      <c r="G22" s="7">
        <f t="shared" si="1"/>
        <v>-245.47802326542876</v>
      </c>
      <c r="H22" s="3">
        <f t="shared" si="2"/>
        <v>18.056013246379766</v>
      </c>
      <c r="I22" s="3">
        <f t="shared" si="3"/>
        <v>2.1954241752728136</v>
      </c>
    </row>
    <row r="23" spans="1:9" x14ac:dyDescent="0.2">
      <c r="A23">
        <v>21</v>
      </c>
      <c r="B23">
        <v>72</v>
      </c>
      <c r="C23" s="5">
        <f t="shared" si="4"/>
        <v>18.056013246379766</v>
      </c>
      <c r="D23" s="5">
        <f t="shared" si="5"/>
        <v>2.1954241752728136</v>
      </c>
      <c r="E23" s="5">
        <f t="shared" si="6"/>
        <v>64.159920927108857</v>
      </c>
      <c r="F23" s="7">
        <f t="shared" si="0"/>
        <v>-15.680158145782286</v>
      </c>
      <c r="G23" s="7">
        <f t="shared" si="1"/>
        <v>-329.28332106142801</v>
      </c>
      <c r="H23" s="3">
        <f t="shared" si="2"/>
        <v>18.06235310034695</v>
      </c>
      <c r="I23" s="3">
        <f t="shared" si="3"/>
        <v>2.1985563512882904</v>
      </c>
    </row>
    <row r="24" spans="1:9" x14ac:dyDescent="0.2">
      <c r="A24">
        <v>28</v>
      </c>
      <c r="B24">
        <v>86</v>
      </c>
      <c r="C24" s="5">
        <f t="shared" si="4"/>
        <v>18.06235310034695</v>
      </c>
      <c r="D24" s="5">
        <f t="shared" si="5"/>
        <v>2.1985563512882904</v>
      </c>
      <c r="E24" s="5">
        <f t="shared" si="6"/>
        <v>79.621930936419076</v>
      </c>
      <c r="F24" s="7">
        <f t="shared" si="0"/>
        <v>-12.756138127161847</v>
      </c>
      <c r="G24" s="7">
        <f t="shared" si="1"/>
        <v>-357.17186756053172</v>
      </c>
      <c r="H24" s="3">
        <f t="shared" si="2"/>
        <v>18.067510704763915</v>
      </c>
      <c r="I24" s="3">
        <f t="shared" si="3"/>
        <v>2.2019538059585422</v>
      </c>
    </row>
    <row r="25" spans="1:9" x14ac:dyDescent="0.2">
      <c r="A25">
        <v>20</v>
      </c>
      <c r="B25">
        <v>70</v>
      </c>
      <c r="C25" s="5">
        <f t="shared" si="4"/>
        <v>18.067510704763915</v>
      </c>
      <c r="D25" s="5">
        <f t="shared" si="5"/>
        <v>2.2019538059585422</v>
      </c>
      <c r="E25" s="5">
        <f t="shared" si="6"/>
        <v>62.106586823934762</v>
      </c>
      <c r="F25" s="7">
        <f t="shared" si="0"/>
        <v>-15.786826352130475</v>
      </c>
      <c r="G25" s="7">
        <f t="shared" si="1"/>
        <v>-315.73652704260951</v>
      </c>
      <c r="H25" s="3">
        <f t="shared" si="2"/>
        <v>18.073893687176927</v>
      </c>
      <c r="I25" s="3">
        <f t="shared" si="3"/>
        <v>2.2049571235089878</v>
      </c>
    </row>
    <row r="26" spans="1:9" x14ac:dyDescent="0.2">
      <c r="A26">
        <v>8</v>
      </c>
      <c r="B26">
        <v>46</v>
      </c>
      <c r="C26" s="5">
        <f t="shared" si="4"/>
        <v>18.073893687176927</v>
      </c>
      <c r="D26" s="5">
        <f t="shared" si="5"/>
        <v>2.2049571235089878</v>
      </c>
      <c r="E26" s="5">
        <f t="shared" si="6"/>
        <v>35.713550675248825</v>
      </c>
      <c r="F26" s="7">
        <f t="shared" si="0"/>
        <v>-20.572898649502349</v>
      </c>
      <c r="G26" s="7">
        <f t="shared" si="1"/>
        <v>-164.58318919601879</v>
      </c>
      <c r="H26" s="3">
        <f t="shared" si="2"/>
        <v>18.082211790343163</v>
      </c>
      <c r="I26" s="3">
        <f t="shared" si="3"/>
        <v>2.2065226553315189</v>
      </c>
    </row>
    <row r="27" spans="1:9" x14ac:dyDescent="0.2">
      <c r="A27">
        <v>64</v>
      </c>
      <c r="B27">
        <v>158</v>
      </c>
      <c r="C27" s="5">
        <f t="shared" si="4"/>
        <v>18.082211790343163</v>
      </c>
      <c r="D27" s="5">
        <f t="shared" si="5"/>
        <v>2.2065226553315189</v>
      </c>
      <c r="E27" s="5">
        <f t="shared" si="6"/>
        <v>159.29966173156038</v>
      </c>
      <c r="F27" s="7">
        <f t="shared" si="0"/>
        <v>2.5993234631207542</v>
      </c>
      <c r="G27" s="7">
        <f t="shared" si="1"/>
        <v>166.35670163972827</v>
      </c>
      <c r="H27" s="3">
        <f t="shared" si="2"/>
        <v>18.081160823189869</v>
      </c>
      <c r="I27" s="3">
        <f t="shared" si="3"/>
        <v>2.2049402536805327</v>
      </c>
    </row>
    <row r="28" spans="1:9" x14ac:dyDescent="0.2">
      <c r="A28">
        <v>99</v>
      </c>
      <c r="B28">
        <v>228</v>
      </c>
      <c r="C28" s="5">
        <f t="shared" si="4"/>
        <v>18.081160823189869</v>
      </c>
      <c r="D28" s="5">
        <f t="shared" si="5"/>
        <v>2.2049402536805327</v>
      </c>
      <c r="E28" s="5">
        <f t="shared" si="6"/>
        <v>236.3702459375626</v>
      </c>
      <c r="F28" s="7">
        <f t="shared" si="0"/>
        <v>16.740491875125201</v>
      </c>
      <c r="G28" s="7">
        <f t="shared" si="1"/>
        <v>1657.308695637395</v>
      </c>
      <c r="H28" s="3">
        <f t="shared" si="2"/>
        <v>18.074392251544076</v>
      </c>
      <c r="I28" s="3">
        <f t="shared" si="3"/>
        <v>2.18917576694618</v>
      </c>
    </row>
    <row r="29" spans="1:9" x14ac:dyDescent="0.2">
      <c r="A29">
        <v>70</v>
      </c>
      <c r="B29">
        <v>170</v>
      </c>
      <c r="C29" s="5">
        <f t="shared" si="4"/>
        <v>18.074392251544076</v>
      </c>
      <c r="D29" s="5">
        <f t="shared" si="5"/>
        <v>2.18917576694618</v>
      </c>
      <c r="E29" s="5">
        <f t="shared" si="6"/>
        <v>171.31669593777667</v>
      </c>
      <c r="F29" s="7">
        <f t="shared" si="0"/>
        <v>2.6333918755533432</v>
      </c>
      <c r="G29" s="7">
        <f t="shared" si="1"/>
        <v>184.33743128873402</v>
      </c>
      <c r="H29" s="3">
        <f t="shared" si="2"/>
        <v>18.073327509736362</v>
      </c>
      <c r="I29" s="3">
        <f t="shared" si="3"/>
        <v>2.1874223307892073</v>
      </c>
    </row>
    <row r="30" spans="1:9" x14ac:dyDescent="0.2">
      <c r="A30">
        <v>27</v>
      </c>
      <c r="B30">
        <v>84</v>
      </c>
      <c r="C30" s="5">
        <f t="shared" si="4"/>
        <v>18.073327509736362</v>
      </c>
      <c r="D30" s="5">
        <f t="shared" si="5"/>
        <v>2.1874223307892073</v>
      </c>
      <c r="E30" s="5">
        <f t="shared" si="6"/>
        <v>77.13373044104496</v>
      </c>
      <c r="F30" s="7">
        <f t="shared" si="0"/>
        <v>-13.732539117910079</v>
      </c>
      <c r="G30" s="7">
        <f t="shared" si="1"/>
        <v>-370.77855618357216</v>
      </c>
      <c r="H30" s="3">
        <f t="shared" si="2"/>
        <v>18.078879895866447</v>
      </c>
      <c r="I30" s="3">
        <f t="shared" si="3"/>
        <v>2.19094921364798</v>
      </c>
    </row>
    <row r="31" spans="1:9" x14ac:dyDescent="0.2">
      <c r="A31">
        <v>17</v>
      </c>
      <c r="B31">
        <v>64</v>
      </c>
      <c r="C31" s="5">
        <f t="shared" si="4"/>
        <v>18.078879895866447</v>
      </c>
      <c r="D31" s="5">
        <f t="shared" si="5"/>
        <v>2.19094921364798</v>
      </c>
      <c r="E31" s="5">
        <f t="shared" si="6"/>
        <v>55.325016527882113</v>
      </c>
      <c r="F31" s="7">
        <f t="shared" si="0"/>
        <v>-17.349966944235774</v>
      </c>
      <c r="G31" s="7">
        <f t="shared" si="1"/>
        <v>-294.94943805200819</v>
      </c>
      <c r="H31" s="3">
        <f t="shared" si="2"/>
        <v>18.085894892509927</v>
      </c>
      <c r="I31" s="3">
        <f t="shared" si="3"/>
        <v>2.1937548023205764</v>
      </c>
    </row>
    <row r="32" spans="1:9" x14ac:dyDescent="0.2">
      <c r="A32">
        <v>8</v>
      </c>
      <c r="B32">
        <v>46</v>
      </c>
      <c r="C32" s="5">
        <f t="shared" si="4"/>
        <v>18.085894892509927</v>
      </c>
      <c r="D32" s="5">
        <f t="shared" si="5"/>
        <v>2.1937548023205764</v>
      </c>
      <c r="E32" s="5">
        <f t="shared" si="6"/>
        <v>35.635933311074538</v>
      </c>
      <c r="F32" s="7">
        <f t="shared" si="0"/>
        <v>-20.728133377850924</v>
      </c>
      <c r="G32" s="7">
        <f t="shared" si="1"/>
        <v>-165.82506702280739</v>
      </c>
      <c r="H32" s="3">
        <f t="shared" si="2"/>
        <v>18.094275760700548</v>
      </c>
      <c r="I32" s="3">
        <f t="shared" si="3"/>
        <v>2.1953321470097014</v>
      </c>
    </row>
    <row r="33" spans="1:11" x14ac:dyDescent="0.2">
      <c r="A33" s="7"/>
      <c r="B33" s="7"/>
      <c r="F33" s="7">
        <f>SQRT(SUMSQ(F4:F32))/COUNT(F4:F32)</f>
        <v>2.456398037348726</v>
      </c>
      <c r="G33" s="7">
        <f>SQRT(SUMSQ(G4:G32))/COUNT(G4:G32)</f>
        <v>104.43189102250149</v>
      </c>
      <c r="H33" s="3"/>
      <c r="K33"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dagrad.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8194" r:id="rId5" name="Button 2">
              <controlPr defaultSize="0" print="0" autoFill="0" autoPict="0" macro="[0]!adagrad.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rmsprop"/>
  <dimension ref="A1:K33"/>
  <sheetViews>
    <sheetView zoomScale="120" zoomScaleNormal="130" workbookViewId="0">
      <pane xSplit="3" ySplit="3" topLeftCell="D11"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17" customWidth="1"/>
    <col min="10" max="10" width="8.33203125" customWidth="1"/>
    <col min="11" max="11" width="19.6640625" customWidth="1"/>
  </cols>
  <sheetData>
    <row r="1" spans="1:11" x14ac:dyDescent="0.2">
      <c r="B1" t="s">
        <v>21</v>
      </c>
      <c r="C1" s="5">
        <v>30.026720188964191</v>
      </c>
      <c r="D1" s="5" t="s">
        <v>14</v>
      </c>
      <c r="J1">
        <v>0.9</v>
      </c>
      <c r="K1">
        <f>1-J1</f>
        <v>9.9999999999999978E-2</v>
      </c>
    </row>
    <row r="2" spans="1:11" x14ac:dyDescent="0.2">
      <c r="B2" t="s">
        <v>22</v>
      </c>
      <c r="C2" s="5">
        <v>2.0059135365395013</v>
      </c>
      <c r="D2">
        <v>0.02</v>
      </c>
      <c r="F2" s="9"/>
      <c r="G2" s="9"/>
    </row>
    <row r="3" spans="1:11" s="2" customFormat="1" x14ac:dyDescent="0.2">
      <c r="A3" s="2" t="s">
        <v>15</v>
      </c>
      <c r="B3" s="2" t="s">
        <v>16</v>
      </c>
      <c r="C3" s="6" t="s">
        <v>21</v>
      </c>
      <c r="D3" s="6" t="s">
        <v>22</v>
      </c>
      <c r="E3" s="6" t="s">
        <v>18</v>
      </c>
      <c r="F3" s="8" t="s">
        <v>6</v>
      </c>
      <c r="G3" s="8" t="s">
        <v>9</v>
      </c>
      <c r="H3" s="2" t="s">
        <v>13</v>
      </c>
      <c r="I3" s="2" t="s">
        <v>12</v>
      </c>
      <c r="J3">
        <f>J33</f>
        <v>0.63094402000661909</v>
      </c>
      <c r="K3">
        <f>K33</f>
        <v>2010.4775499600155</v>
      </c>
    </row>
    <row r="4" spans="1:11" x14ac:dyDescent="0.2">
      <c r="A4">
        <v>14</v>
      </c>
      <c r="B4">
        <v>58</v>
      </c>
      <c r="C4" s="5">
        <f>C1</f>
        <v>30.026720188964191</v>
      </c>
      <c r="D4" s="5">
        <f>C2</f>
        <v>2.0059135365395013</v>
      </c>
      <c r="E4" s="5">
        <f>C4+D4*A4</f>
        <v>58.109509700517208</v>
      </c>
      <c r="F4" s="7">
        <f t="shared" ref="F4:F32" si="0">2*(D4*A4+C4-B4)</f>
        <v>0.21901940103441575</v>
      </c>
      <c r="G4" s="7">
        <f t="shared" ref="G4:G32" si="1">F4*A4</f>
        <v>3.0662716144818205</v>
      </c>
      <c r="H4" s="3">
        <f t="shared" ref="H4:H32" si="2">C4-F4*$D$2/SQRT(J3)</f>
        <v>30.021205548942401</v>
      </c>
      <c r="I4" s="3">
        <f t="shared" ref="I4:I32" si="3">D4-G4*$D$2/SQRT(K3)</f>
        <v>2.0045458360438011</v>
      </c>
      <c r="J4">
        <f t="shared" ref="J4:J32" si="4">J3*$J$1+$K$1*F4^2</f>
        <v>0.57264656780890466</v>
      </c>
      <c r="K4">
        <f t="shared" ref="K4:K32" si="5">K3*$J$1+$K$1*G4^2</f>
        <v>1810.3699971253918</v>
      </c>
    </row>
    <row r="5" spans="1:11" x14ac:dyDescent="0.2">
      <c r="A5">
        <v>86</v>
      </c>
      <c r="B5">
        <v>202</v>
      </c>
      <c r="C5" s="5">
        <f>H4</f>
        <v>30.021205548942401</v>
      </c>
      <c r="D5" s="5">
        <f>I4</f>
        <v>2.0045458360438011</v>
      </c>
      <c r="E5" s="5">
        <f>C5+D5*A5</f>
        <v>202.41214744870928</v>
      </c>
      <c r="F5" s="7">
        <f t="shared" si="0"/>
        <v>0.82429489741855377</v>
      </c>
      <c r="G5" s="7">
        <f t="shared" si="1"/>
        <v>70.889361177995625</v>
      </c>
      <c r="H5" s="3">
        <f t="shared" si="2"/>
        <v>29.999419961448737</v>
      </c>
      <c r="I5" s="3">
        <f t="shared" si="3"/>
        <v>1.9712241178939571</v>
      </c>
      <c r="J5">
        <f t="shared" si="4"/>
        <v>0.58332811881904068</v>
      </c>
      <c r="K5">
        <f t="shared" si="5"/>
        <v>2131.8631502352837</v>
      </c>
    </row>
    <row r="6" spans="1:11" x14ac:dyDescent="0.2">
      <c r="A6">
        <v>28</v>
      </c>
      <c r="B6">
        <v>86</v>
      </c>
      <c r="C6" s="5">
        <f>H5</f>
        <v>29.999419961448737</v>
      </c>
      <c r="D6" s="5">
        <f>I5</f>
        <v>1.9712241178939571</v>
      </c>
      <c r="E6" s="5">
        <f>C6+D6*A6</f>
        <v>85.193695262479537</v>
      </c>
      <c r="F6" s="7">
        <f t="shared" si="0"/>
        <v>-1.6126094750409266</v>
      </c>
      <c r="G6" s="7">
        <f t="shared" si="1"/>
        <v>-45.153065301145944</v>
      </c>
      <c r="H6" s="3">
        <f t="shared" si="2"/>
        <v>30.041648178681871</v>
      </c>
      <c r="I6" s="3">
        <f t="shared" si="3"/>
        <v>1.9907827092454877</v>
      </c>
      <c r="J6">
        <f>J5*$J$1+$K$1*F6^2</f>
        <v>0.78504623883631375</v>
      </c>
      <c r="K6">
        <f>K5*$J$1+$K$1*G6^2</f>
        <v>2122.5567658207101</v>
      </c>
    </row>
    <row r="7" spans="1:11" x14ac:dyDescent="0.2">
      <c r="A7">
        <v>51</v>
      </c>
      <c r="B7">
        <v>132</v>
      </c>
      <c r="C7" s="5">
        <f t="shared" ref="C7:D32" si="6">H6</f>
        <v>30.041648178681871</v>
      </c>
      <c r="D7" s="5">
        <f t="shared" si="6"/>
        <v>1.9907827092454877</v>
      </c>
      <c r="E7" s="5">
        <f t="shared" ref="E7:E32" si="7">C7+D7*A7</f>
        <v>131.57156635020175</v>
      </c>
      <c r="F7" s="7">
        <f t="shared" si="0"/>
        <v>-0.85686729959650165</v>
      </c>
      <c r="G7" s="7">
        <f t="shared" si="1"/>
        <v>-43.700232279421584</v>
      </c>
      <c r="H7" s="3">
        <f t="shared" si="2"/>
        <v>30.06098993673276</v>
      </c>
      <c r="I7" s="3">
        <f t="shared" si="3"/>
        <v>2.0097534410406919</v>
      </c>
      <c r="J7">
        <f t="shared" si="4"/>
        <v>0.77996377186446253</v>
      </c>
      <c r="K7">
        <f t="shared" si="5"/>
        <v>2101.2721193661791</v>
      </c>
    </row>
    <row r="8" spans="1:11" x14ac:dyDescent="0.2">
      <c r="A8">
        <v>28</v>
      </c>
      <c r="B8">
        <v>86</v>
      </c>
      <c r="C8" s="5">
        <f t="shared" si="6"/>
        <v>30.06098993673276</v>
      </c>
      <c r="D8" s="5">
        <f t="shared" si="6"/>
        <v>2.0097534410406919</v>
      </c>
      <c r="E8" s="5">
        <f t="shared" si="7"/>
        <v>86.334086285872132</v>
      </c>
      <c r="F8" s="7">
        <f>2*(D8*A8+C8-B8)</f>
        <v>0.66817257174426459</v>
      </c>
      <c r="G8" s="7">
        <f t="shared" si="1"/>
        <v>18.708832008839408</v>
      </c>
      <c r="H8" s="3">
        <f t="shared" si="2"/>
        <v>30.045858456171199</v>
      </c>
      <c r="I8" s="3">
        <f t="shared" si="3"/>
        <v>2.0015907093404746</v>
      </c>
      <c r="J8">
        <f t="shared" si="4"/>
        <v>0.74661285324115068</v>
      </c>
      <c r="K8">
        <f t="shared" si="5"/>
        <v>1926.1469469430588</v>
      </c>
    </row>
    <row r="9" spans="1:11" x14ac:dyDescent="0.2">
      <c r="A9">
        <v>29</v>
      </c>
      <c r="B9">
        <v>88</v>
      </c>
      <c r="C9" s="5">
        <f t="shared" si="6"/>
        <v>30.045858456171199</v>
      </c>
      <c r="D9" s="5">
        <f t="shared" si="6"/>
        <v>2.0015907093404746</v>
      </c>
      <c r="E9" s="5">
        <f t="shared" si="7"/>
        <v>88.09198902704496</v>
      </c>
      <c r="F9" s="7">
        <f t="shared" si="0"/>
        <v>0.18397805408991985</v>
      </c>
      <c r="G9" s="7">
        <f t="shared" si="1"/>
        <v>5.3353635686076757</v>
      </c>
      <c r="H9" s="3">
        <f t="shared" si="2"/>
        <v>30.0416000382032</v>
      </c>
      <c r="I9" s="3">
        <f t="shared" si="3"/>
        <v>1.9991593491233961</v>
      </c>
      <c r="J9">
        <f t="shared" si="4"/>
        <v>0.67533636035570699</v>
      </c>
      <c r="K9">
        <f t="shared" si="5"/>
        <v>1736.3788626896755</v>
      </c>
    </row>
    <row r="10" spans="1:11" x14ac:dyDescent="0.2">
      <c r="A10">
        <v>72</v>
      </c>
      <c r="B10">
        <v>174</v>
      </c>
      <c r="C10" s="5">
        <f t="shared" si="6"/>
        <v>30.0416000382032</v>
      </c>
      <c r="D10" s="5">
        <f t="shared" si="6"/>
        <v>1.9991593491233961</v>
      </c>
      <c r="E10" s="5">
        <f t="shared" si="7"/>
        <v>173.98107317508772</v>
      </c>
      <c r="F10" s="7">
        <f t="shared" si="0"/>
        <v>-3.7853649824569402E-2</v>
      </c>
      <c r="G10" s="7">
        <f t="shared" si="1"/>
        <v>-2.7254627873689969</v>
      </c>
      <c r="H10" s="3">
        <f t="shared" si="2"/>
        <v>30.042521288603236</v>
      </c>
      <c r="I10" s="3">
        <f t="shared" si="3"/>
        <v>2.0004674703927803</v>
      </c>
      <c r="J10">
        <f t="shared" si="4"/>
        <v>0.60794601420064043</v>
      </c>
      <c r="K10">
        <f t="shared" si="5"/>
        <v>1563.4837911612412</v>
      </c>
    </row>
    <row r="11" spans="1:11" x14ac:dyDescent="0.2">
      <c r="A11">
        <v>62</v>
      </c>
      <c r="B11">
        <v>154</v>
      </c>
      <c r="C11" s="5">
        <f t="shared" si="6"/>
        <v>30.042521288603236</v>
      </c>
      <c r="D11" s="5">
        <f t="shared" si="6"/>
        <v>2.0004674703927803</v>
      </c>
      <c r="E11" s="5">
        <f t="shared" si="7"/>
        <v>154.07150445295562</v>
      </c>
      <c r="F11" s="7">
        <f t="shared" si="0"/>
        <v>0.14300890591124471</v>
      </c>
      <c r="G11" s="7">
        <f t="shared" si="1"/>
        <v>8.866552166497172</v>
      </c>
      <c r="H11" s="3">
        <f t="shared" si="2"/>
        <v>30.038853024702075</v>
      </c>
      <c r="I11" s="3">
        <f t="shared" si="3"/>
        <v>1.9959827220542496</v>
      </c>
      <c r="J11">
        <f t="shared" si="4"/>
        <v>0.54919656749756951</v>
      </c>
      <c r="K11">
        <f t="shared" si="5"/>
        <v>1414.9969867772388</v>
      </c>
    </row>
    <row r="12" spans="1:11" x14ac:dyDescent="0.2">
      <c r="A12">
        <v>84</v>
      </c>
      <c r="B12">
        <v>198</v>
      </c>
      <c r="C12" s="5">
        <f t="shared" si="6"/>
        <v>30.038853024702075</v>
      </c>
      <c r="D12" s="5">
        <f t="shared" si="6"/>
        <v>1.9959827220542496</v>
      </c>
      <c r="E12" s="5">
        <f t="shared" si="7"/>
        <v>197.70140167725904</v>
      </c>
      <c r="F12" s="7">
        <f t="shared" si="0"/>
        <v>-0.59719664548191531</v>
      </c>
      <c r="G12" s="7">
        <f t="shared" si="1"/>
        <v>-50.164518220480886</v>
      </c>
      <c r="H12" s="3">
        <f t="shared" si="2"/>
        <v>30.054969996580514</v>
      </c>
      <c r="I12" s="3">
        <f t="shared" si="3"/>
        <v>2.022654310660092</v>
      </c>
      <c r="J12">
        <f t="shared" si="4"/>
        <v>0.52994129408529778</v>
      </c>
      <c r="K12">
        <f t="shared" si="5"/>
        <v>1525.1451769288108</v>
      </c>
    </row>
    <row r="13" spans="1:11" x14ac:dyDescent="0.2">
      <c r="A13">
        <v>15</v>
      </c>
      <c r="B13">
        <v>60</v>
      </c>
      <c r="C13" s="5">
        <f t="shared" si="6"/>
        <v>30.054969996580514</v>
      </c>
      <c r="D13" s="5">
        <f t="shared" si="6"/>
        <v>2.022654310660092</v>
      </c>
      <c r="E13" s="5">
        <f t="shared" si="7"/>
        <v>60.394784656481896</v>
      </c>
      <c r="F13" s="7">
        <f t="shared" si="0"/>
        <v>0.78956931296379196</v>
      </c>
      <c r="G13" s="7">
        <f t="shared" si="1"/>
        <v>11.843539694456879</v>
      </c>
      <c r="H13" s="3">
        <f t="shared" si="2"/>
        <v>30.033277657940733</v>
      </c>
      <c r="I13" s="3">
        <f t="shared" si="3"/>
        <v>2.0165889598784523</v>
      </c>
      <c r="J13">
        <f t="shared" si="4"/>
        <v>0.53928913467417949</v>
      </c>
      <c r="K13">
        <f t="shared" si="5"/>
        <v>1386.6576024853473</v>
      </c>
    </row>
    <row r="14" spans="1:11" x14ac:dyDescent="0.2">
      <c r="A14">
        <v>42</v>
      </c>
      <c r="B14">
        <v>114</v>
      </c>
      <c r="C14" s="5">
        <f t="shared" si="6"/>
        <v>30.033277657940733</v>
      </c>
      <c r="D14" s="5">
        <f t="shared" si="6"/>
        <v>2.0165889598784523</v>
      </c>
      <c r="E14" s="5">
        <f t="shared" si="7"/>
        <v>114.73001397283572</v>
      </c>
      <c r="F14" s="7">
        <f t="shared" si="0"/>
        <v>1.4600279456714418</v>
      </c>
      <c r="G14" s="7">
        <f t="shared" si="1"/>
        <v>61.321173718200555</v>
      </c>
      <c r="H14" s="3">
        <f t="shared" si="2"/>
        <v>29.993514549376869</v>
      </c>
      <c r="I14" s="3">
        <f t="shared" si="3"/>
        <v>1.9836540987912605</v>
      </c>
      <c r="J14">
        <f t="shared" si="4"/>
        <v>0.69852838142091855</v>
      </c>
      <c r="K14">
        <f t="shared" si="5"/>
        <v>1624.0204768545855</v>
      </c>
    </row>
    <row r="15" spans="1:11" x14ac:dyDescent="0.2">
      <c r="A15">
        <v>62</v>
      </c>
      <c r="B15">
        <v>154</v>
      </c>
      <c r="C15" s="5">
        <f t="shared" si="6"/>
        <v>29.993514549376869</v>
      </c>
      <c r="D15" s="5">
        <f>I14</f>
        <v>1.9836540987912605</v>
      </c>
      <c r="E15" s="5">
        <f t="shared" si="7"/>
        <v>152.98006867443502</v>
      </c>
      <c r="F15" s="7">
        <f t="shared" si="0"/>
        <v>-2.0398626511299653</v>
      </c>
      <c r="G15" s="7">
        <f t="shared" si="1"/>
        <v>-126.47148437005785</v>
      </c>
      <c r="H15" s="3">
        <f t="shared" si="2"/>
        <v>30.042327930852846</v>
      </c>
      <c r="I15" s="3">
        <f t="shared" si="3"/>
        <v>2.0464204468893277</v>
      </c>
      <c r="J15">
        <f t="shared" si="4"/>
        <v>1.0447795068263237</v>
      </c>
      <c r="K15">
        <f t="shared" si="5"/>
        <v>3061.1220650457053</v>
      </c>
    </row>
    <row r="16" spans="1:11" x14ac:dyDescent="0.2">
      <c r="A16">
        <v>47</v>
      </c>
      <c r="B16">
        <v>124</v>
      </c>
      <c r="C16" s="5">
        <f t="shared" si="6"/>
        <v>30.042327930852846</v>
      </c>
      <c r="D16" s="5">
        <f t="shared" si="6"/>
        <v>2.0464204468893277</v>
      </c>
      <c r="E16" s="5">
        <f t="shared" si="7"/>
        <v>126.22408893465125</v>
      </c>
      <c r="F16" s="7">
        <f t="shared" si="0"/>
        <v>4.4481778693024978</v>
      </c>
      <c r="G16" s="7">
        <f t="shared" si="1"/>
        <v>209.0643598572174</v>
      </c>
      <c r="H16" s="3">
        <f t="shared" si="2"/>
        <v>29.955291751585911</v>
      </c>
      <c r="I16" s="3">
        <f t="shared" si="3"/>
        <v>1.9708469227396925</v>
      </c>
      <c r="J16">
        <f t="shared" si="4"/>
        <v>2.9189301918389416</v>
      </c>
      <c r="K16">
        <f t="shared" si="5"/>
        <v>7125.800514791943</v>
      </c>
    </row>
    <row r="17" spans="1:11" x14ac:dyDescent="0.2">
      <c r="A17">
        <v>35</v>
      </c>
      <c r="B17">
        <v>100</v>
      </c>
      <c r="C17" s="5">
        <f t="shared" si="6"/>
        <v>29.955291751585911</v>
      </c>
      <c r="D17" s="5">
        <f t="shared" si="6"/>
        <v>1.9708469227396925</v>
      </c>
      <c r="E17" s="5">
        <f t="shared" si="7"/>
        <v>98.934934047475139</v>
      </c>
      <c r="F17" s="7">
        <f t="shared" si="0"/>
        <v>-2.1301319050497227</v>
      </c>
      <c r="G17" s="7">
        <f t="shared" si="1"/>
        <v>-74.554616676740295</v>
      </c>
      <c r="H17" s="3">
        <f t="shared" si="2"/>
        <v>29.980227628100664</v>
      </c>
      <c r="I17" s="3">
        <f t="shared" si="3"/>
        <v>1.9885108678774523</v>
      </c>
      <c r="J17">
        <f t="shared" si="4"/>
        <v>3.0807833659461235</v>
      </c>
      <c r="K17">
        <f t="shared" si="5"/>
        <v>6969.0595500943164</v>
      </c>
    </row>
    <row r="18" spans="1:11" x14ac:dyDescent="0.2">
      <c r="A18">
        <v>9</v>
      </c>
      <c r="B18">
        <v>48</v>
      </c>
      <c r="C18" s="5">
        <f t="shared" si="6"/>
        <v>29.980227628100664</v>
      </c>
      <c r="D18" s="5">
        <f t="shared" si="6"/>
        <v>1.9885108678774523</v>
      </c>
      <c r="E18" s="5">
        <f t="shared" si="7"/>
        <v>47.876825438997734</v>
      </c>
      <c r="F18" s="7">
        <f t="shared" si="0"/>
        <v>-0.2463491220045313</v>
      </c>
      <c r="G18" s="7">
        <f t="shared" si="1"/>
        <v>-2.2171420980407817</v>
      </c>
      <c r="H18" s="3">
        <f t="shared" si="2"/>
        <v>29.983034679946545</v>
      </c>
      <c r="I18" s="3">
        <f t="shared" si="3"/>
        <v>1.9890420414214269</v>
      </c>
      <c r="J18">
        <f t="shared" si="4"/>
        <v>2.7787738183427515</v>
      </c>
      <c r="K18">
        <f t="shared" si="5"/>
        <v>6272.6451669931748</v>
      </c>
    </row>
    <row r="19" spans="1:11" x14ac:dyDescent="0.2">
      <c r="A19">
        <v>38</v>
      </c>
      <c r="B19">
        <v>106</v>
      </c>
      <c r="C19" s="5">
        <f t="shared" si="6"/>
        <v>29.983034679946545</v>
      </c>
      <c r="D19" s="5">
        <f t="shared" si="6"/>
        <v>1.9890420414214269</v>
      </c>
      <c r="E19" s="5">
        <f t="shared" si="7"/>
        <v>105.56663225396076</v>
      </c>
      <c r="F19" s="7">
        <f t="shared" si="0"/>
        <v>-0.866735492078476</v>
      </c>
      <c r="G19" s="7">
        <f t="shared" si="1"/>
        <v>-32.935948698982088</v>
      </c>
      <c r="H19" s="3">
        <f t="shared" si="2"/>
        <v>29.993433641616811</v>
      </c>
      <c r="I19" s="3">
        <f t="shared" si="3"/>
        <v>1.9973591967582309</v>
      </c>
      <c r="J19">
        <f t="shared" si="4"/>
        <v>2.5760194778313283</v>
      </c>
      <c r="K19">
        <f t="shared" si="5"/>
        <v>5753.8583219640559</v>
      </c>
    </row>
    <row r="20" spans="1:11" x14ac:dyDescent="0.2">
      <c r="A20">
        <v>44</v>
      </c>
      <c r="B20">
        <v>118</v>
      </c>
      <c r="C20" s="5">
        <f t="shared" si="6"/>
        <v>29.993433641616811</v>
      </c>
      <c r="D20" s="5">
        <f t="shared" si="6"/>
        <v>1.9973591967582309</v>
      </c>
      <c r="E20" s="5">
        <f t="shared" si="7"/>
        <v>117.87723829897897</v>
      </c>
      <c r="F20" s="7">
        <f t="shared" si="0"/>
        <v>-0.24552340204206757</v>
      </c>
      <c r="G20" s="7">
        <f t="shared" si="1"/>
        <v>-10.803029689850973</v>
      </c>
      <c r="H20" s="3">
        <f t="shared" si="2"/>
        <v>29.996493126541473</v>
      </c>
      <c r="I20" s="3">
        <f t="shared" si="3"/>
        <v>2.0002075640058545</v>
      </c>
      <c r="J20">
        <f t="shared" si="4"/>
        <v>2.3244457041432267</v>
      </c>
      <c r="K20">
        <f t="shared" si="5"/>
        <v>5190.1430348156309</v>
      </c>
    </row>
    <row r="21" spans="1:11" x14ac:dyDescent="0.2">
      <c r="A21">
        <v>99</v>
      </c>
      <c r="B21">
        <v>228</v>
      </c>
      <c r="C21" s="5">
        <f t="shared" si="6"/>
        <v>29.996493126541473</v>
      </c>
      <c r="D21" s="5">
        <f t="shared" si="6"/>
        <v>2.0002075640058545</v>
      </c>
      <c r="E21" s="5">
        <f t="shared" si="7"/>
        <v>228.01704196312107</v>
      </c>
      <c r="F21" s="7">
        <f t="shared" si="0"/>
        <v>3.4083926242146845E-2</v>
      </c>
      <c r="G21" s="7">
        <f t="shared" si="1"/>
        <v>3.3743086979725376</v>
      </c>
      <c r="H21" s="3">
        <f t="shared" si="2"/>
        <v>29.996046010852289</v>
      </c>
      <c r="I21" s="3">
        <f t="shared" si="3"/>
        <v>1.9992708108956161</v>
      </c>
      <c r="J21">
        <f t="shared" si="4"/>
        <v>2.0921173051317123</v>
      </c>
      <c r="K21">
        <f t="shared" si="5"/>
        <v>4672.2673272529892</v>
      </c>
    </row>
    <row r="22" spans="1:11" x14ac:dyDescent="0.2">
      <c r="A22">
        <v>13</v>
      </c>
      <c r="B22">
        <v>56</v>
      </c>
      <c r="C22" s="5">
        <f t="shared" si="6"/>
        <v>29.996046010852289</v>
      </c>
      <c r="D22" s="5">
        <f t="shared" si="6"/>
        <v>1.9992708108956161</v>
      </c>
      <c r="E22" s="5">
        <f t="shared" si="7"/>
        <v>55.986566552495297</v>
      </c>
      <c r="F22" s="7">
        <f t="shared" si="0"/>
        <v>-2.6866895009405312E-2</v>
      </c>
      <c r="G22" s="7">
        <f t="shared" si="1"/>
        <v>-0.34926963512226905</v>
      </c>
      <c r="H22" s="3">
        <f t="shared" si="2"/>
        <v>29.996417507122597</v>
      </c>
      <c r="I22" s="3">
        <f t="shared" si="3"/>
        <v>1.9993730052688659</v>
      </c>
      <c r="J22">
        <f t="shared" si="4"/>
        <v>1.8829777576232858</v>
      </c>
      <c r="K22">
        <f t="shared" si="5"/>
        <v>4205.052793455493</v>
      </c>
    </row>
    <row r="23" spans="1:11" x14ac:dyDescent="0.2">
      <c r="A23">
        <v>21</v>
      </c>
      <c r="B23">
        <v>72</v>
      </c>
      <c r="C23" s="5">
        <f t="shared" si="6"/>
        <v>29.996417507122597</v>
      </c>
      <c r="D23" s="5">
        <f t="shared" si="6"/>
        <v>1.9993730052688659</v>
      </c>
      <c r="E23" s="5">
        <f t="shared" si="7"/>
        <v>71.983250617768775</v>
      </c>
      <c r="F23" s="7">
        <f t="shared" si="0"/>
        <v>-3.3498764462450481E-2</v>
      </c>
      <c r="G23" s="7">
        <f t="shared" si="1"/>
        <v>-0.7034740537114601</v>
      </c>
      <c r="H23" s="3">
        <f t="shared" si="2"/>
        <v>29.99690575030742</v>
      </c>
      <c r="I23" s="3">
        <f t="shared" si="3"/>
        <v>1.9995899716040455</v>
      </c>
      <c r="J23">
        <f t="shared" si="4"/>
        <v>1.6947921985830083</v>
      </c>
      <c r="K23">
        <f t="shared" si="5"/>
        <v>3784.597001684368</v>
      </c>
    </row>
    <row r="24" spans="1:11" x14ac:dyDescent="0.2">
      <c r="A24">
        <v>28</v>
      </c>
      <c r="B24">
        <v>86</v>
      </c>
      <c r="C24" s="5">
        <f t="shared" si="6"/>
        <v>29.99690575030742</v>
      </c>
      <c r="D24" s="5">
        <f t="shared" si="6"/>
        <v>1.9995899716040455</v>
      </c>
      <c r="E24" s="5">
        <f t="shared" si="7"/>
        <v>85.985424955220694</v>
      </c>
      <c r="F24" s="7">
        <f t="shared" si="0"/>
        <v>-2.9150089558612535E-2</v>
      </c>
      <c r="G24" s="7">
        <f t="shared" si="1"/>
        <v>-0.81620250764115099</v>
      </c>
      <c r="H24" s="3">
        <f t="shared" si="2"/>
        <v>29.997353578737449</v>
      </c>
      <c r="I24" s="3">
        <f t="shared" si="3"/>
        <v>1.9998553209979124</v>
      </c>
      <c r="J24">
        <f t="shared" si="4"/>
        <v>1.525397951496835</v>
      </c>
      <c r="K24">
        <f t="shared" si="5"/>
        <v>3406.2039201692792</v>
      </c>
    </row>
    <row r="25" spans="1:11" x14ac:dyDescent="0.2">
      <c r="A25">
        <v>20</v>
      </c>
      <c r="B25">
        <v>70</v>
      </c>
      <c r="C25" s="5">
        <f t="shared" si="6"/>
        <v>29.997353578737449</v>
      </c>
      <c r="D25" s="5">
        <f t="shared" si="6"/>
        <v>1.9998553209979124</v>
      </c>
      <c r="E25" s="5">
        <f t="shared" si="7"/>
        <v>69.994459998695703</v>
      </c>
      <c r="F25" s="7">
        <f t="shared" si="0"/>
        <v>-1.1080002608593986E-2</v>
      </c>
      <c r="G25" s="7">
        <f t="shared" si="1"/>
        <v>-0.22160005217187972</v>
      </c>
      <c r="H25" s="3">
        <f t="shared" si="2"/>
        <v>29.997533001805607</v>
      </c>
      <c r="I25" s="3">
        <f t="shared" si="3"/>
        <v>1.9999312599380943</v>
      </c>
      <c r="J25">
        <f t="shared" si="4"/>
        <v>1.3728704329929322</v>
      </c>
      <c r="K25">
        <f t="shared" si="5"/>
        <v>3065.5884388106638</v>
      </c>
    </row>
    <row r="26" spans="1:11" x14ac:dyDescent="0.2">
      <c r="A26">
        <v>8</v>
      </c>
      <c r="B26">
        <v>46</v>
      </c>
      <c r="C26" s="5">
        <f t="shared" si="6"/>
        <v>29.997533001805607</v>
      </c>
      <c r="D26" s="5">
        <f t="shared" si="6"/>
        <v>1.9999312599380943</v>
      </c>
      <c r="E26" s="5">
        <f t="shared" si="7"/>
        <v>45.996983081310361</v>
      </c>
      <c r="F26" s="7">
        <f t="shared" si="0"/>
        <v>-6.0338373792774291E-3</v>
      </c>
      <c r="G26" s="7">
        <f t="shared" si="1"/>
        <v>-4.8270699034219433E-2</v>
      </c>
      <c r="H26" s="3">
        <f t="shared" si="2"/>
        <v>29.997635995069391</v>
      </c>
      <c r="I26" s="3">
        <f t="shared" si="3"/>
        <v>1.9999486963314941</v>
      </c>
      <c r="J26">
        <f t="shared" si="4"/>
        <v>1.235587030412991</v>
      </c>
      <c r="K26">
        <f t="shared" si="5"/>
        <v>2759.0298279356357</v>
      </c>
    </row>
    <row r="27" spans="1:11" x14ac:dyDescent="0.2">
      <c r="A27">
        <v>64</v>
      </c>
      <c r="B27">
        <v>158</v>
      </c>
      <c r="C27" s="5">
        <f t="shared" si="6"/>
        <v>29.997635995069391</v>
      </c>
      <c r="D27" s="5">
        <f t="shared" si="6"/>
        <v>1.9999486963314941</v>
      </c>
      <c r="E27" s="5">
        <f t="shared" si="7"/>
        <v>157.99435256028502</v>
      </c>
      <c r="F27" s="7">
        <f t="shared" si="0"/>
        <v>-1.1294879429954108E-2</v>
      </c>
      <c r="G27" s="7">
        <f t="shared" si="1"/>
        <v>-0.7228722835170629</v>
      </c>
      <c r="H27" s="3">
        <f t="shared" si="2"/>
        <v>29.997839219036287</v>
      </c>
      <c r="I27" s="3">
        <f t="shared" si="3"/>
        <v>2.0002239374861706</v>
      </c>
      <c r="J27">
        <f t="shared" si="4"/>
        <v>1.1120410848018256</v>
      </c>
      <c r="K27">
        <f t="shared" si="5"/>
        <v>2483.1790995759002</v>
      </c>
    </row>
    <row r="28" spans="1:11" x14ac:dyDescent="0.2">
      <c r="A28">
        <v>99</v>
      </c>
      <c r="B28">
        <v>228</v>
      </c>
      <c r="C28" s="5">
        <f t="shared" si="6"/>
        <v>29.997839219036287</v>
      </c>
      <c r="D28" s="5">
        <f t="shared" si="6"/>
        <v>2.0002239374861706</v>
      </c>
      <c r="E28" s="5">
        <f t="shared" si="7"/>
        <v>228.02000903016716</v>
      </c>
      <c r="F28" s="7">
        <f t="shared" si="0"/>
        <v>4.0018060334318761E-2</v>
      </c>
      <c r="G28" s="7">
        <f t="shared" si="1"/>
        <v>3.9617879730975574</v>
      </c>
      <c r="H28" s="3">
        <f t="shared" si="2"/>
        <v>29.997080247281357</v>
      </c>
      <c r="I28" s="3">
        <f t="shared" si="3"/>
        <v>1.9986338639748993</v>
      </c>
      <c r="J28">
        <f t="shared" si="4"/>
        <v>1.0009971208369353</v>
      </c>
      <c r="K28">
        <f t="shared" si="5"/>
        <v>2236.4307660126883</v>
      </c>
    </row>
    <row r="29" spans="1:11" x14ac:dyDescent="0.2">
      <c r="A29">
        <v>70</v>
      </c>
      <c r="B29">
        <v>170</v>
      </c>
      <c r="C29" s="5">
        <f t="shared" si="6"/>
        <v>29.997080247281357</v>
      </c>
      <c r="D29" s="5">
        <f t="shared" si="6"/>
        <v>1.9986338639748993</v>
      </c>
      <c r="E29" s="5">
        <f t="shared" si="7"/>
        <v>169.90145072552431</v>
      </c>
      <c r="F29" s="7">
        <f t="shared" si="0"/>
        <v>-0.19709854895137369</v>
      </c>
      <c r="G29" s="7">
        <f t="shared" si="1"/>
        <v>-13.796898426596158</v>
      </c>
      <c r="H29" s="3">
        <f t="shared" si="2"/>
        <v>30.001020254418201</v>
      </c>
      <c r="I29" s="3">
        <f t="shared" si="3"/>
        <v>2.0044687682234814</v>
      </c>
      <c r="J29">
        <f t="shared" si="4"/>
        <v>0.90478219255311543</v>
      </c>
      <c r="K29">
        <f t="shared" si="5"/>
        <v>2031.8231300308007</v>
      </c>
    </row>
    <row r="30" spans="1:11" x14ac:dyDescent="0.2">
      <c r="A30">
        <v>27</v>
      </c>
      <c r="B30">
        <v>84</v>
      </c>
      <c r="C30" s="5">
        <f t="shared" si="6"/>
        <v>30.001020254418201</v>
      </c>
      <c r="D30" s="5">
        <f t="shared" si="6"/>
        <v>2.0044687682234814</v>
      </c>
      <c r="E30" s="5">
        <f t="shared" si="7"/>
        <v>84.121676996452209</v>
      </c>
      <c r="F30" s="7">
        <f t="shared" si="0"/>
        <v>0.24335399290441728</v>
      </c>
      <c r="G30" s="7">
        <f t="shared" si="1"/>
        <v>6.5705578084192666</v>
      </c>
      <c r="H30" s="3">
        <f t="shared" si="2"/>
        <v>29.995903477889616</v>
      </c>
      <c r="I30" s="3">
        <f t="shared" si="3"/>
        <v>2.00155342772084</v>
      </c>
      <c r="J30">
        <f t="shared" si="4"/>
        <v>0.82022608988405621</v>
      </c>
      <c r="K30">
        <f t="shared" si="5"/>
        <v>1832.9580400190987</v>
      </c>
    </row>
    <row r="31" spans="1:11" x14ac:dyDescent="0.2">
      <c r="A31">
        <v>17</v>
      </c>
      <c r="B31">
        <v>64</v>
      </c>
      <c r="C31" s="5">
        <f t="shared" si="6"/>
        <v>29.995903477889616</v>
      </c>
      <c r="D31" s="5">
        <f t="shared" si="6"/>
        <v>2.00155342772084</v>
      </c>
      <c r="E31" s="5">
        <f t="shared" si="7"/>
        <v>64.022311749143896</v>
      </c>
      <c r="F31" s="7">
        <f t="shared" si="0"/>
        <v>4.4623498287791108E-2</v>
      </c>
      <c r="G31" s="7">
        <f t="shared" si="1"/>
        <v>0.75859947089244884</v>
      </c>
      <c r="H31" s="3">
        <f t="shared" si="2"/>
        <v>29.994918045528706</v>
      </c>
      <c r="I31" s="3">
        <f t="shared" si="3"/>
        <v>2.0011990501151922</v>
      </c>
      <c r="J31">
        <f t="shared" si="4"/>
        <v>0.73840260655559464</v>
      </c>
      <c r="K31">
        <f t="shared" si="5"/>
        <v>1649.7197833329128</v>
      </c>
    </row>
    <row r="32" spans="1:11" x14ac:dyDescent="0.2">
      <c r="A32">
        <v>8</v>
      </c>
      <c r="B32">
        <v>46</v>
      </c>
      <c r="C32" s="5">
        <f t="shared" si="6"/>
        <v>29.994918045528706</v>
      </c>
      <c r="D32" s="5">
        <f t="shared" si="6"/>
        <v>2.0011990501151922</v>
      </c>
      <c r="E32" s="5">
        <f t="shared" si="7"/>
        <v>46.00451044645024</v>
      </c>
      <c r="F32" s="7">
        <f t="shared" si="0"/>
        <v>9.0208929004802485E-3</v>
      </c>
      <c r="G32" s="7">
        <f t="shared" si="1"/>
        <v>7.2167143203841988E-2</v>
      </c>
      <c r="H32" s="3">
        <f t="shared" si="2"/>
        <v>29.994708087294374</v>
      </c>
      <c r="I32" s="3">
        <f t="shared" si="3"/>
        <v>2.001163514452557</v>
      </c>
      <c r="J32">
        <f t="shared" si="4"/>
        <v>0.66457048355090731</v>
      </c>
      <c r="K32">
        <f t="shared" si="5"/>
        <v>1484.7483258092775</v>
      </c>
    </row>
    <row r="33" spans="1:11" x14ac:dyDescent="0.2">
      <c r="A33" s="7"/>
      <c r="B33" s="7"/>
      <c r="H33" s="3"/>
      <c r="J33" s="7">
        <v>0.63094402000661909</v>
      </c>
      <c r="K33">
        <v>2010.4775499600155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msprop.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22530" r:id="rId4" name="Button 2">
              <controlPr defaultSize="0" print="0" autoFill="0" autoPict="0" macro="[0]!rmsprop.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dam"/>
  <dimension ref="A1:O33"/>
  <sheetViews>
    <sheetView zoomScale="120" zoomScaleNormal="130" workbookViewId="0">
      <pane xSplit="3" ySplit="3" topLeftCell="D12" activePane="bottomRight" state="frozen"/>
      <selection pane="topRight" activeCell="D1" sqref="D1"/>
      <selection pane="bottomLeft" activeCell="A4" sqref="A4"/>
      <selection pane="bottomRight" activeCell="J33" sqref="J33:K33"/>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s>
  <sheetData>
    <row r="1" spans="1:15" x14ac:dyDescent="0.2">
      <c r="B1" t="s">
        <v>21</v>
      </c>
      <c r="C1" s="5">
        <v>1</v>
      </c>
      <c r="D1" s="5" t="s">
        <v>14</v>
      </c>
      <c r="I1" t="s">
        <v>24</v>
      </c>
      <c r="J1">
        <v>0.7</v>
      </c>
      <c r="K1">
        <f>1-J1</f>
        <v>0.30000000000000004</v>
      </c>
      <c r="L1">
        <v>0.9</v>
      </c>
      <c r="M1">
        <f>1-L1</f>
        <v>9.9999999999999978E-2</v>
      </c>
    </row>
    <row r="2" spans="1:15" x14ac:dyDescent="0.2">
      <c r="B2" t="s">
        <v>22</v>
      </c>
      <c r="C2" s="5">
        <v>1</v>
      </c>
      <c r="D2">
        <v>1</v>
      </c>
      <c r="F2" s="9"/>
      <c r="G2" s="9"/>
    </row>
    <row r="3" spans="1:15" s="2" customFormat="1" x14ac:dyDescent="0.2">
      <c r="A3" s="2" t="s">
        <v>15</v>
      </c>
      <c r="B3" s="2" t="s">
        <v>16</v>
      </c>
      <c r="C3" s="6" t="s">
        <v>21</v>
      </c>
      <c r="D3" s="6" t="s">
        <v>22</v>
      </c>
      <c r="E3" s="6" t="s">
        <v>18</v>
      </c>
      <c r="F3" s="8" t="s">
        <v>6</v>
      </c>
      <c r="G3" s="8" t="s">
        <v>9</v>
      </c>
      <c r="H3" s="2" t="s">
        <v>13</v>
      </c>
      <c r="I3" s="2" t="s">
        <v>12</v>
      </c>
      <c r="J3">
        <f>J33</f>
        <v>-19.370509429769257</v>
      </c>
      <c r="K3">
        <f>K33</f>
        <v>-636.96204313606268</v>
      </c>
      <c r="L3">
        <f>L33</f>
        <v>5489.999378391848</v>
      </c>
      <c r="M3">
        <f>M33</f>
        <v>27555653.260482278</v>
      </c>
      <c r="N3" s="4"/>
      <c r="O3" s="4"/>
    </row>
    <row r="4" spans="1:15" x14ac:dyDescent="0.2">
      <c r="A4">
        <v>14</v>
      </c>
      <c r="B4">
        <v>58</v>
      </c>
      <c r="C4" s="5">
        <f>C1</f>
        <v>1</v>
      </c>
      <c r="D4" s="5">
        <f>C2</f>
        <v>1</v>
      </c>
      <c r="E4" s="5">
        <f>C4+D4*A4</f>
        <v>15</v>
      </c>
      <c r="F4" s="7">
        <f t="shared" ref="F4:F32" si="0">2*(D4*A4+C4-B4)</f>
        <v>-86</v>
      </c>
      <c r="G4" s="7">
        <f t="shared" ref="G4:G32" si="1">F4*A4</f>
        <v>-1204</v>
      </c>
      <c r="H4" s="3">
        <f>C4-J4*$D$2/SQRT(L4)</f>
        <v>1.5222168817019814</v>
      </c>
      <c r="I4" s="3">
        <f>D4-K4*$D$2/SQRT(M4)</f>
        <v>1.1615923752588633</v>
      </c>
      <c r="J4">
        <f>J3*$J$1+$K$1*F4</f>
        <v>-39.359356600838481</v>
      </c>
      <c r="K4">
        <f>K3*$J$1+$K$1*G4</f>
        <v>-807.07343019524387</v>
      </c>
      <c r="L4">
        <f t="shared" ref="L4:L32" si="2">L3*$L$1+$M$1*F4^2</f>
        <v>5680.5994405526626</v>
      </c>
      <c r="M4">
        <f t="shared" ref="M4:M32" si="3">M3*$L$1+$M$1*G4^2</f>
        <v>24945049.53443405</v>
      </c>
    </row>
    <row r="5" spans="1:15" x14ac:dyDescent="0.2">
      <c r="A5">
        <v>86</v>
      </c>
      <c r="B5">
        <v>202</v>
      </c>
      <c r="C5" s="5">
        <f>H4</f>
        <v>1.5222168817019814</v>
      </c>
      <c r="D5" s="5">
        <f>I4</f>
        <v>1.1615923752588633</v>
      </c>
      <c r="E5" s="5">
        <f>C5+D5*A5</f>
        <v>101.41916115396423</v>
      </c>
      <c r="F5" s="7">
        <f t="shared" si="0"/>
        <v>-201.16167769207155</v>
      </c>
      <c r="G5" s="7">
        <f t="shared" si="1"/>
        <v>-17299.904281518153</v>
      </c>
      <c r="H5" s="3">
        <f t="shared" ref="H5:H32" si="4">C5-J5*$D$2/SQRT(L5)</f>
        <v>2.4406800624791023</v>
      </c>
      <c r="I5" s="3">
        <f t="shared" ref="I5:I32" si="5">D5-K5*$D$2/SQRT(M5)</f>
        <v>1.956762413138724</v>
      </c>
      <c r="J5">
        <f t="shared" ref="J5:J32" si="6">J4*$J$1+$K$1*F5</f>
        <v>-87.90005292820841</v>
      </c>
      <c r="K5">
        <f t="shared" ref="K5:K32" si="7">K4*$J$1+$K$1*G5</f>
        <v>-5754.9226855921179</v>
      </c>
      <c r="L5">
        <f t="shared" si="2"/>
        <v>9159.1415536862842</v>
      </c>
      <c r="M5">
        <f t="shared" si="3"/>
        <v>52379213.395959646</v>
      </c>
    </row>
    <row r="6" spans="1:15" x14ac:dyDescent="0.2">
      <c r="A6">
        <v>28</v>
      </c>
      <c r="B6">
        <v>86</v>
      </c>
      <c r="C6" s="5">
        <f>H5</f>
        <v>2.4406800624791023</v>
      </c>
      <c r="D6" s="5">
        <f>I5</f>
        <v>1.956762413138724</v>
      </c>
      <c r="E6" s="5">
        <f>C6+D6*A6</f>
        <v>57.230027630363374</v>
      </c>
      <c r="F6" s="7">
        <f t="shared" si="0"/>
        <v>-57.539944739273253</v>
      </c>
      <c r="G6" s="7">
        <f t="shared" si="1"/>
        <v>-1611.118452699651</v>
      </c>
      <c r="H6" s="3">
        <f t="shared" si="4"/>
        <v>3.2915880452759305</v>
      </c>
      <c r="I6" s="3">
        <f t="shared" si="5"/>
        <v>2.6120846873989083</v>
      </c>
      <c r="J6">
        <f t="shared" si="6"/>
        <v>-78.792020471527863</v>
      </c>
      <c r="K6">
        <f t="shared" si="7"/>
        <v>-4511.7814157243774</v>
      </c>
      <c r="L6">
        <f t="shared" si="2"/>
        <v>8574.3119223775175</v>
      </c>
      <c r="M6">
        <f t="shared" si="3"/>
        <v>47400862.323226608</v>
      </c>
    </row>
    <row r="7" spans="1:15" x14ac:dyDescent="0.2">
      <c r="A7">
        <v>51</v>
      </c>
      <c r="B7">
        <v>132</v>
      </c>
      <c r="C7" s="5">
        <f t="shared" ref="C7:D32" si="8">H6</f>
        <v>3.2915880452759305</v>
      </c>
      <c r="D7" s="5">
        <f t="shared" si="8"/>
        <v>2.6120846873989083</v>
      </c>
      <c r="E7" s="5">
        <f t="shared" ref="E7:E32" si="9">C7+D7*A7</f>
        <v>136.50790710262027</v>
      </c>
      <c r="F7" s="7">
        <f t="shared" si="0"/>
        <v>9.015814205240531</v>
      </c>
      <c r="G7" s="7">
        <f t="shared" si="1"/>
        <v>459.80652446726708</v>
      </c>
      <c r="H7" s="3">
        <f t="shared" si="4"/>
        <v>3.8883391853633813</v>
      </c>
      <c r="I7" s="3">
        <f t="shared" si="5"/>
        <v>3.0743899544554814</v>
      </c>
      <c r="J7">
        <f t="shared" si="6"/>
        <v>-52.44967006849734</v>
      </c>
      <c r="K7">
        <f t="shared" si="7"/>
        <v>-3020.3050336668839</v>
      </c>
      <c r="L7">
        <f t="shared" si="2"/>
        <v>7725.0092207181069</v>
      </c>
      <c r="M7">
        <f t="shared" si="3"/>
        <v>42681918.294898212</v>
      </c>
    </row>
    <row r="8" spans="1:15" x14ac:dyDescent="0.2">
      <c r="A8">
        <v>28</v>
      </c>
      <c r="B8">
        <v>86</v>
      </c>
      <c r="C8" s="5">
        <f t="shared" si="8"/>
        <v>3.8883391853633813</v>
      </c>
      <c r="D8" s="5">
        <f t="shared" si="8"/>
        <v>3.0743899544554814</v>
      </c>
      <c r="E8" s="5">
        <f t="shared" si="9"/>
        <v>89.971257910116861</v>
      </c>
      <c r="F8" s="7">
        <f t="shared" si="0"/>
        <v>7.9425158202337229</v>
      </c>
      <c r="G8" s="7">
        <f t="shared" si="1"/>
        <v>222.39044296654424</v>
      </c>
      <c r="H8" s="3">
        <f t="shared" si="4"/>
        <v>4.299897696724396</v>
      </c>
      <c r="I8" s="3">
        <f t="shared" si="5"/>
        <v>3.4047229603450924</v>
      </c>
      <c r="J8">
        <f t="shared" si="6"/>
        <v>-34.332014301878019</v>
      </c>
      <c r="K8">
        <f t="shared" si="7"/>
        <v>-2047.4963906768555</v>
      </c>
      <c r="L8">
        <f t="shared" si="2"/>
        <v>6958.8166544017631</v>
      </c>
      <c r="M8">
        <f t="shared" si="3"/>
        <v>38418672.216320679</v>
      </c>
    </row>
    <row r="9" spans="1:15" x14ac:dyDescent="0.2">
      <c r="A9">
        <v>29</v>
      </c>
      <c r="B9">
        <v>88</v>
      </c>
      <c r="C9" s="5">
        <f t="shared" si="8"/>
        <v>4.299897696724396</v>
      </c>
      <c r="D9" s="5">
        <f t="shared" si="8"/>
        <v>3.4047229603450924</v>
      </c>
      <c r="E9" s="5">
        <f t="shared" si="9"/>
        <v>103.03686354673208</v>
      </c>
      <c r="F9" s="7">
        <f t="shared" si="0"/>
        <v>30.073727093464157</v>
      </c>
      <c r="G9" s="7">
        <f t="shared" si="1"/>
        <v>872.13808571046059</v>
      </c>
      <c r="H9" s="3">
        <f t="shared" si="4"/>
        <v>4.4882135114777197</v>
      </c>
      <c r="I9" s="3">
        <f t="shared" si="5"/>
        <v>3.603749969127918</v>
      </c>
      <c r="J9">
        <f t="shared" si="6"/>
        <v>-15.010291883275361</v>
      </c>
      <c r="K9">
        <f t="shared" si="7"/>
        <v>-1171.6060477606607</v>
      </c>
      <c r="L9">
        <f t="shared" si="2"/>
        <v>6353.3778950908027</v>
      </c>
      <c r="M9">
        <f t="shared" si="3"/>
        <v>34652867.478743285</v>
      </c>
    </row>
    <row r="10" spans="1:15" x14ac:dyDescent="0.2">
      <c r="A10">
        <v>72</v>
      </c>
      <c r="B10">
        <v>174</v>
      </c>
      <c r="C10" s="5">
        <f t="shared" si="8"/>
        <v>4.4882135114777197</v>
      </c>
      <c r="D10" s="5">
        <f t="shared" si="8"/>
        <v>3.603749969127918</v>
      </c>
      <c r="E10" s="5">
        <f t="shared" si="9"/>
        <v>263.95821128868783</v>
      </c>
      <c r="F10" s="7">
        <f t="shared" si="0"/>
        <v>179.91642257737567</v>
      </c>
      <c r="G10" s="7">
        <f t="shared" si="1"/>
        <v>12953.982425571048</v>
      </c>
      <c r="H10" s="3">
        <f t="shared" si="4"/>
        <v>4.0288745185189248</v>
      </c>
      <c r="I10" s="3">
        <f t="shared" si="5"/>
        <v>3.161053900045363</v>
      </c>
      <c r="J10">
        <f t="shared" si="6"/>
        <v>43.467722454919958</v>
      </c>
      <c r="K10">
        <f t="shared" si="7"/>
        <v>3066.0704942388525</v>
      </c>
      <c r="L10">
        <f t="shared" si="2"/>
        <v>8955.0320168858034</v>
      </c>
      <c r="M10">
        <f t="shared" si="3"/>
        <v>47968146.799069315</v>
      </c>
    </row>
    <row r="11" spans="1:15" x14ac:dyDescent="0.2">
      <c r="A11">
        <v>62</v>
      </c>
      <c r="B11">
        <v>154</v>
      </c>
      <c r="C11" s="5">
        <f t="shared" si="8"/>
        <v>4.0288745185189248</v>
      </c>
      <c r="D11" s="5">
        <f t="shared" si="8"/>
        <v>3.161053900045363</v>
      </c>
      <c r="E11" s="5">
        <f t="shared" si="9"/>
        <v>200.01421632133145</v>
      </c>
      <c r="F11" s="7">
        <f t="shared" si="0"/>
        <v>92.028432642662892</v>
      </c>
      <c r="G11" s="7">
        <f t="shared" si="1"/>
        <v>5705.7628238450998</v>
      </c>
      <c r="H11" s="3">
        <f t="shared" si="4"/>
        <v>3.4139176986042741</v>
      </c>
      <c r="I11" s="3">
        <f t="shared" si="5"/>
        <v>2.5948473334506703</v>
      </c>
      <c r="J11">
        <f t="shared" si="6"/>
        <v>58.03593551124284</v>
      </c>
      <c r="K11">
        <f t="shared" si="7"/>
        <v>3857.9781931207267</v>
      </c>
      <c r="L11">
        <f t="shared" si="2"/>
        <v>8906.4520566637366</v>
      </c>
      <c r="M11">
        <f t="shared" si="3"/>
        <v>46426905.05935967</v>
      </c>
    </row>
    <row r="12" spans="1:15" x14ac:dyDescent="0.2">
      <c r="A12">
        <v>84</v>
      </c>
      <c r="B12">
        <v>198</v>
      </c>
      <c r="C12" s="5">
        <f t="shared" si="8"/>
        <v>3.4139176986042741</v>
      </c>
      <c r="D12" s="5">
        <f t="shared" si="8"/>
        <v>2.5948473334506703</v>
      </c>
      <c r="E12" s="5">
        <f t="shared" si="9"/>
        <v>221.38109370846058</v>
      </c>
      <c r="F12" s="7">
        <f t="shared" si="0"/>
        <v>46.762187416921165</v>
      </c>
      <c r="G12" s="7">
        <f t="shared" si="1"/>
        <v>3928.0237430213779</v>
      </c>
      <c r="H12" s="3">
        <f t="shared" si="4"/>
        <v>2.8116321550862153</v>
      </c>
      <c r="I12" s="3">
        <f t="shared" si="5"/>
        <v>2.0055441344621592</v>
      </c>
      <c r="J12">
        <f t="shared" si="6"/>
        <v>54.653811082946341</v>
      </c>
      <c r="K12">
        <f t="shared" si="7"/>
        <v>3878.9918580909225</v>
      </c>
      <c r="L12">
        <f t="shared" si="2"/>
        <v>8234.4770681988884</v>
      </c>
      <c r="M12">
        <f t="shared" si="3"/>
        <v>43327151.605997667</v>
      </c>
    </row>
    <row r="13" spans="1:15" x14ac:dyDescent="0.2">
      <c r="A13">
        <v>15</v>
      </c>
      <c r="B13">
        <v>60</v>
      </c>
      <c r="C13" s="5">
        <f t="shared" si="8"/>
        <v>2.8116321550862153</v>
      </c>
      <c r="D13" s="5">
        <f t="shared" si="8"/>
        <v>2.0055441344621592</v>
      </c>
      <c r="E13" s="5">
        <f t="shared" si="9"/>
        <v>32.894794172018607</v>
      </c>
      <c r="F13" s="7">
        <f t="shared" si="0"/>
        <v>-54.210411655962787</v>
      </c>
      <c r="G13" s="7">
        <f t="shared" si="1"/>
        <v>-813.15617483944175</v>
      </c>
      <c r="H13" s="3">
        <f t="shared" si="4"/>
        <v>2.5610608767426699</v>
      </c>
      <c r="I13" s="3">
        <f t="shared" si="5"/>
        <v>1.6101187170542504</v>
      </c>
      <c r="J13">
        <f t="shared" si="6"/>
        <v>21.9945442612736</v>
      </c>
      <c r="K13">
        <f t="shared" si="7"/>
        <v>2471.3474482118131</v>
      </c>
      <c r="L13">
        <f t="shared" si="2"/>
        <v>7704.9062345698949</v>
      </c>
      <c r="M13">
        <f t="shared" si="3"/>
        <v>39060558.741865851</v>
      </c>
    </row>
    <row r="14" spans="1:15" x14ac:dyDescent="0.2">
      <c r="A14">
        <v>42</v>
      </c>
      <c r="B14">
        <v>114</v>
      </c>
      <c r="C14" s="5">
        <f t="shared" si="8"/>
        <v>2.5610608767426699</v>
      </c>
      <c r="D14" s="5">
        <f t="shared" si="8"/>
        <v>1.6101187170542504</v>
      </c>
      <c r="E14" s="5">
        <f t="shared" si="9"/>
        <v>70.186046993021193</v>
      </c>
      <c r="F14" s="7">
        <f t="shared" si="0"/>
        <v>-87.627906013957613</v>
      </c>
      <c r="G14" s="7">
        <f t="shared" si="1"/>
        <v>-3680.37205258622</v>
      </c>
      <c r="H14" s="3">
        <f t="shared" si="4"/>
        <v>2.6851705330629283</v>
      </c>
      <c r="I14" s="3">
        <f t="shared" si="5"/>
        <v>1.5065431264185785</v>
      </c>
      <c r="J14">
        <f t="shared" si="6"/>
        <v>-10.89219082129577</v>
      </c>
      <c r="K14">
        <f t="shared" si="7"/>
        <v>625.83159797240296</v>
      </c>
      <c r="L14">
        <f t="shared" si="2"/>
        <v>7702.2806023520043</v>
      </c>
      <c r="M14">
        <f t="shared" si="3"/>
        <v>36509016.712225035</v>
      </c>
    </row>
    <row r="15" spans="1:15" x14ac:dyDescent="0.2">
      <c r="A15">
        <v>62</v>
      </c>
      <c r="B15">
        <v>154</v>
      </c>
      <c r="C15" s="5">
        <f t="shared" si="8"/>
        <v>2.6851705330629283</v>
      </c>
      <c r="D15" s="5">
        <f>I14</f>
        <v>1.5065431264185785</v>
      </c>
      <c r="E15" s="5">
        <f t="shared" si="9"/>
        <v>96.090844371014796</v>
      </c>
      <c r="F15" s="7">
        <f t="shared" si="0"/>
        <v>-115.81831125797041</v>
      </c>
      <c r="G15" s="7">
        <f t="shared" si="1"/>
        <v>-7180.7352979941652</v>
      </c>
      <c r="H15" s="3">
        <f t="shared" si="4"/>
        <v>3.1509878847706978</v>
      </c>
      <c r="I15" s="3">
        <f t="shared" si="5"/>
        <v>1.7848847743732295</v>
      </c>
      <c r="J15">
        <f t="shared" si="6"/>
        <v>-42.370026952298169</v>
      </c>
      <c r="K15">
        <f t="shared" si="7"/>
        <v>-1716.1384708175678</v>
      </c>
      <c r="L15">
        <f t="shared" si="2"/>
        <v>8273.4406643816146</v>
      </c>
      <c r="M15">
        <f t="shared" si="3"/>
        <v>38014410.982988462</v>
      </c>
    </row>
    <row r="16" spans="1:15" x14ac:dyDescent="0.2">
      <c r="A16">
        <v>47</v>
      </c>
      <c r="B16">
        <v>124</v>
      </c>
      <c r="C16" s="5">
        <f t="shared" si="8"/>
        <v>3.1509878847706978</v>
      </c>
      <c r="D16" s="5">
        <f t="shared" si="8"/>
        <v>1.7848847743732295</v>
      </c>
      <c r="E16" s="5">
        <f t="shared" si="9"/>
        <v>87.040572280312489</v>
      </c>
      <c r="F16" s="7">
        <f t="shared" si="0"/>
        <v>-73.918855439375022</v>
      </c>
      <c r="G16" s="7">
        <f t="shared" si="1"/>
        <v>-3474.1862056506261</v>
      </c>
      <c r="H16" s="3">
        <f t="shared" si="4"/>
        <v>3.7307891539045204</v>
      </c>
      <c r="I16" s="3">
        <f t="shared" si="5"/>
        <v>2.1618594860757017</v>
      </c>
      <c r="J16">
        <f t="shared" si="6"/>
        <v>-51.834675498421227</v>
      </c>
      <c r="K16">
        <f t="shared" si="7"/>
        <v>-2243.5527912674852</v>
      </c>
      <c r="L16">
        <f t="shared" si="2"/>
        <v>7992.496316890175</v>
      </c>
      <c r="M16">
        <f t="shared" si="3"/>
        <v>35419966.863842919</v>
      </c>
    </row>
    <row r="17" spans="1:13" x14ac:dyDescent="0.2">
      <c r="A17">
        <v>35</v>
      </c>
      <c r="B17">
        <v>100</v>
      </c>
      <c r="C17" s="5">
        <f t="shared" si="8"/>
        <v>3.7307891539045204</v>
      </c>
      <c r="D17" s="5">
        <f t="shared" si="8"/>
        <v>2.1618594860757017</v>
      </c>
      <c r="E17" s="5">
        <f t="shared" si="9"/>
        <v>79.395871166554087</v>
      </c>
      <c r="F17" s="7">
        <f t="shared" si="0"/>
        <v>-41.208257666891825</v>
      </c>
      <c r="G17" s="7">
        <f t="shared" si="1"/>
        <v>-1442.2890183412139</v>
      </c>
      <c r="H17" s="3">
        <f t="shared" si="4"/>
        <v>4.2977129677247019</v>
      </c>
      <c r="I17" s="3">
        <f t="shared" si="5"/>
        <v>2.5154990768569427</v>
      </c>
      <c r="J17">
        <f t="shared" si="6"/>
        <v>-48.646750148962411</v>
      </c>
      <c r="K17">
        <f t="shared" si="7"/>
        <v>-2003.1736593896037</v>
      </c>
      <c r="L17">
        <f t="shared" si="2"/>
        <v>7363.0587351952527</v>
      </c>
      <c r="M17">
        <f t="shared" si="3"/>
        <v>32085989.938701395</v>
      </c>
    </row>
    <row r="18" spans="1:13" x14ac:dyDescent="0.2">
      <c r="A18">
        <v>9</v>
      </c>
      <c r="B18">
        <v>48</v>
      </c>
      <c r="C18" s="5">
        <f t="shared" si="8"/>
        <v>4.2977129677247019</v>
      </c>
      <c r="D18" s="5">
        <f t="shared" si="8"/>
        <v>2.5154990768569427</v>
      </c>
      <c r="E18" s="5">
        <f t="shared" si="9"/>
        <v>26.937204659437189</v>
      </c>
      <c r="F18" s="7">
        <f t="shared" si="0"/>
        <v>-42.125590681125622</v>
      </c>
      <c r="G18" s="7">
        <f t="shared" si="1"/>
        <v>-379.13031613013061</v>
      </c>
      <c r="H18" s="3">
        <f t="shared" si="4"/>
        <v>4.8637420958165807</v>
      </c>
      <c r="I18" s="3">
        <f t="shared" si="5"/>
        <v>2.7975327047649166</v>
      </c>
      <c r="J18">
        <f t="shared" si="6"/>
        <v>-46.690402308611368</v>
      </c>
      <c r="K18">
        <f t="shared" si="7"/>
        <v>-1515.9606564117616</v>
      </c>
      <c r="L18">
        <f t="shared" si="2"/>
        <v>6804.209400699101</v>
      </c>
      <c r="M18">
        <f t="shared" si="3"/>
        <v>28891764.924492151</v>
      </c>
    </row>
    <row r="19" spans="1:13" x14ac:dyDescent="0.2">
      <c r="A19">
        <v>38</v>
      </c>
      <c r="B19">
        <v>106</v>
      </c>
      <c r="C19" s="5">
        <f t="shared" si="8"/>
        <v>4.8637420958165807</v>
      </c>
      <c r="D19" s="5">
        <f t="shared" si="8"/>
        <v>2.7975327047649166</v>
      </c>
      <c r="E19" s="5">
        <f t="shared" si="9"/>
        <v>111.1699848768834</v>
      </c>
      <c r="F19" s="7">
        <f t="shared" si="0"/>
        <v>10.339969753766809</v>
      </c>
      <c r="G19" s="7">
        <f t="shared" si="1"/>
        <v>392.91885064313874</v>
      </c>
      <c r="H19" s="3">
        <f t="shared" si="4"/>
        <v>5.2414257968623277</v>
      </c>
      <c r="I19" s="3">
        <f t="shared" si="5"/>
        <v>2.9824643287675414</v>
      </c>
      <c r="J19">
        <f t="shared" si="6"/>
        <v>-29.581290689897912</v>
      </c>
      <c r="K19">
        <f t="shared" si="7"/>
        <v>-943.29680429529139</v>
      </c>
      <c r="L19">
        <f t="shared" si="2"/>
        <v>6134.4799580800718</v>
      </c>
      <c r="M19">
        <f t="shared" si="3"/>
        <v>26018026.954362009</v>
      </c>
    </row>
    <row r="20" spans="1:13" x14ac:dyDescent="0.2">
      <c r="A20">
        <v>44</v>
      </c>
      <c r="B20">
        <v>118</v>
      </c>
      <c r="C20" s="5">
        <f t="shared" si="8"/>
        <v>5.2414257968623277</v>
      </c>
      <c r="D20" s="5">
        <f t="shared" si="8"/>
        <v>2.9824643287675414</v>
      </c>
      <c r="E20" s="5">
        <f t="shared" si="9"/>
        <v>136.46985626263415</v>
      </c>
      <c r="F20" s="7">
        <f t="shared" si="0"/>
        <v>36.939712525268305</v>
      </c>
      <c r="G20" s="7">
        <f t="shared" si="1"/>
        <v>1625.3473511118054</v>
      </c>
      <c r="H20" s="3">
        <f t="shared" si="4"/>
        <v>5.3693900077862287</v>
      </c>
      <c r="I20" s="3">
        <f t="shared" si="5"/>
        <v>3.0179543917582352</v>
      </c>
      <c r="J20">
        <f t="shared" si="6"/>
        <v>-9.6249897253480459</v>
      </c>
      <c r="K20">
        <f t="shared" si="7"/>
        <v>-172.70355767316221</v>
      </c>
      <c r="L20">
        <f t="shared" si="2"/>
        <v>5657.4861984170111</v>
      </c>
      <c r="M20">
        <f t="shared" si="3"/>
        <v>23680399.660102423</v>
      </c>
    </row>
    <row r="21" spans="1:13" x14ac:dyDescent="0.2">
      <c r="A21">
        <v>99</v>
      </c>
      <c r="B21">
        <v>228</v>
      </c>
      <c r="C21" s="5">
        <f t="shared" si="8"/>
        <v>5.3693900077862287</v>
      </c>
      <c r="D21" s="5">
        <f t="shared" si="8"/>
        <v>3.0179543917582352</v>
      </c>
      <c r="E21" s="5">
        <f t="shared" si="9"/>
        <v>304.14687479185153</v>
      </c>
      <c r="F21" s="7">
        <f t="shared" si="0"/>
        <v>152.29374958370306</v>
      </c>
      <c r="G21" s="7">
        <f t="shared" si="1"/>
        <v>15077.081208786603</v>
      </c>
      <c r="H21" s="3">
        <f t="shared" si="4"/>
        <v>4.91693659294081</v>
      </c>
      <c r="I21" s="3">
        <f t="shared" si="5"/>
        <v>2.354626035348419</v>
      </c>
      <c r="J21">
        <f t="shared" si="6"/>
        <v>38.950632067367295</v>
      </c>
      <c r="K21">
        <f t="shared" si="7"/>
        <v>4402.2318722647688</v>
      </c>
      <c r="L21">
        <f t="shared" si="2"/>
        <v>7411.0761948016752</v>
      </c>
      <c r="M21">
        <f t="shared" si="3"/>
        <v>44044197.47172679</v>
      </c>
    </row>
    <row r="22" spans="1:13" x14ac:dyDescent="0.2">
      <c r="A22">
        <v>13</v>
      </c>
      <c r="B22">
        <v>56</v>
      </c>
      <c r="C22" s="5">
        <f t="shared" si="8"/>
        <v>4.91693659294081</v>
      </c>
      <c r="D22" s="5">
        <f t="shared" si="8"/>
        <v>2.354626035348419</v>
      </c>
      <c r="E22" s="5">
        <f t="shared" si="9"/>
        <v>35.527075052470252</v>
      </c>
      <c r="F22" s="7">
        <f t="shared" si="0"/>
        <v>-40.945849895059496</v>
      </c>
      <c r="G22" s="7">
        <f t="shared" si="1"/>
        <v>-532.29604863577345</v>
      </c>
      <c r="H22" s="3">
        <f t="shared" si="4"/>
        <v>4.7357574924828016</v>
      </c>
      <c r="I22" s="3">
        <f t="shared" si="5"/>
        <v>1.890708652583319</v>
      </c>
      <c r="J22">
        <f t="shared" si="6"/>
        <v>14.981687478639255</v>
      </c>
      <c r="K22">
        <f t="shared" si="7"/>
        <v>2921.8734959946059</v>
      </c>
      <c r="L22">
        <f t="shared" si="2"/>
        <v>6837.6248376843823</v>
      </c>
      <c r="M22">
        <f t="shared" si="3"/>
        <v>39668111.632893443</v>
      </c>
    </row>
    <row r="23" spans="1:13" x14ac:dyDescent="0.2">
      <c r="A23">
        <v>21</v>
      </c>
      <c r="B23">
        <v>72</v>
      </c>
      <c r="C23" s="5">
        <f t="shared" si="8"/>
        <v>4.7357574924828016</v>
      </c>
      <c r="D23" s="5">
        <f t="shared" si="8"/>
        <v>1.890708652583319</v>
      </c>
      <c r="E23" s="5">
        <f t="shared" si="9"/>
        <v>44.440639196732505</v>
      </c>
      <c r="F23" s="7">
        <f t="shared" si="0"/>
        <v>-55.11872160653499</v>
      </c>
      <c r="G23" s="7">
        <f t="shared" si="1"/>
        <v>-1157.4931537372347</v>
      </c>
      <c r="H23" s="3">
        <f t="shared" si="4"/>
        <v>4.8110245818103294</v>
      </c>
      <c r="I23" s="3">
        <f t="shared" si="5"/>
        <v>1.6070483714152493</v>
      </c>
      <c r="J23">
        <f t="shared" si="6"/>
        <v>-6.0484352469130211</v>
      </c>
      <c r="K23">
        <f t="shared" si="7"/>
        <v>1698.0635010750534</v>
      </c>
      <c r="L23">
        <f t="shared" si="2"/>
        <v>6457.6697010698153</v>
      </c>
      <c r="M23">
        <f t="shared" si="3"/>
        <v>35835279.509698957</v>
      </c>
    </row>
    <row r="24" spans="1:13" x14ac:dyDescent="0.2">
      <c r="A24">
        <v>28</v>
      </c>
      <c r="B24">
        <v>86</v>
      </c>
      <c r="C24" s="5">
        <f t="shared" si="8"/>
        <v>4.8110245818103294</v>
      </c>
      <c r="D24" s="5">
        <f t="shared" si="8"/>
        <v>1.6070483714152493</v>
      </c>
      <c r="E24" s="5">
        <f t="shared" si="9"/>
        <v>49.808378981437308</v>
      </c>
      <c r="F24" s="7">
        <f t="shared" si="0"/>
        <v>-72.383242037125385</v>
      </c>
      <c r="G24" s="7">
        <f t="shared" si="1"/>
        <v>-2026.7307770395107</v>
      </c>
      <c r="H24" s="3">
        <f t="shared" si="4"/>
        <v>5.1370238348986579</v>
      </c>
      <c r="I24" s="3">
        <f t="shared" si="5"/>
        <v>1.5054536647111667</v>
      </c>
      <c r="J24">
        <f t="shared" si="6"/>
        <v>-25.948877283976731</v>
      </c>
      <c r="K24">
        <f t="shared" si="7"/>
        <v>580.62521764068401</v>
      </c>
      <c r="L24">
        <f t="shared" si="2"/>
        <v>6335.8361037433415</v>
      </c>
      <c r="M24">
        <f t="shared" si="3"/>
        <v>32662515.322988983</v>
      </c>
    </row>
    <row r="25" spans="1:13" x14ac:dyDescent="0.2">
      <c r="A25">
        <v>20</v>
      </c>
      <c r="B25">
        <v>70</v>
      </c>
      <c r="C25" s="5">
        <f t="shared" si="8"/>
        <v>5.1370238348986579</v>
      </c>
      <c r="D25" s="5">
        <f t="shared" si="8"/>
        <v>1.5054536647111667</v>
      </c>
      <c r="E25" s="5">
        <f t="shared" si="9"/>
        <v>35.246097129121992</v>
      </c>
      <c r="F25" s="7">
        <f t="shared" si="0"/>
        <v>-69.507805741756016</v>
      </c>
      <c r="G25" s="7">
        <f t="shared" si="1"/>
        <v>-1390.1561148351202</v>
      </c>
      <c r="H25" s="3">
        <f t="shared" si="4"/>
        <v>5.6331196071810004</v>
      </c>
      <c r="I25" s="3">
        <f t="shared" si="5"/>
        <v>1.5074040165516844</v>
      </c>
      <c r="J25">
        <f t="shared" si="6"/>
        <v>-39.016555821310519</v>
      </c>
      <c r="K25">
        <f t="shared" si="7"/>
        <v>-10.609182102057332</v>
      </c>
      <c r="L25">
        <f t="shared" si="2"/>
        <v>6185.3859992723765</v>
      </c>
      <c r="M25">
        <f t="shared" si="3"/>
        <v>29589517.193051435</v>
      </c>
    </row>
    <row r="26" spans="1:13" x14ac:dyDescent="0.2">
      <c r="A26">
        <v>8</v>
      </c>
      <c r="B26">
        <v>46</v>
      </c>
      <c r="C26" s="5">
        <f t="shared" si="8"/>
        <v>5.6331196071810004</v>
      </c>
      <c r="D26" s="5">
        <f t="shared" si="8"/>
        <v>1.5074040165516844</v>
      </c>
      <c r="E26" s="5">
        <f t="shared" si="9"/>
        <v>17.692351739594475</v>
      </c>
      <c r="F26" s="7">
        <f t="shared" si="0"/>
        <v>-56.61529652081105</v>
      </c>
      <c r="G26" s="7">
        <f t="shared" si="1"/>
        <v>-452.9223721664884</v>
      </c>
      <c r="H26" s="3">
        <f t="shared" si="4"/>
        <v>6.210424645925567</v>
      </c>
      <c r="I26" s="3">
        <f t="shared" si="5"/>
        <v>1.5351626641089862</v>
      </c>
      <c r="J26">
        <f t="shared" si="6"/>
        <v>-44.296178031160679</v>
      </c>
      <c r="K26">
        <f t="shared" si="7"/>
        <v>-143.30313912138666</v>
      </c>
      <c r="L26">
        <f t="shared" si="2"/>
        <v>5887.3765793590746</v>
      </c>
      <c r="M26">
        <f t="shared" si="3"/>
        <v>26651079.341267183</v>
      </c>
    </row>
    <row r="27" spans="1:13" x14ac:dyDescent="0.2">
      <c r="A27">
        <v>64</v>
      </c>
      <c r="B27">
        <v>158</v>
      </c>
      <c r="C27" s="5">
        <f t="shared" si="8"/>
        <v>6.210424645925567</v>
      </c>
      <c r="D27" s="5">
        <f t="shared" si="8"/>
        <v>1.5351626641089862</v>
      </c>
      <c r="E27" s="5">
        <f t="shared" si="9"/>
        <v>104.46083514890068</v>
      </c>
      <c r="F27" s="7">
        <f t="shared" si="0"/>
        <v>-107.07832970219863</v>
      </c>
      <c r="G27" s="7">
        <f t="shared" si="1"/>
        <v>-6853.0131009407123</v>
      </c>
      <c r="H27" s="3">
        <f t="shared" si="4"/>
        <v>6.9967870169029807</v>
      </c>
      <c r="I27" s="3">
        <f t="shared" si="5"/>
        <v>1.9377730023851494</v>
      </c>
      <c r="J27">
        <f t="shared" si="6"/>
        <v>-63.130823532472064</v>
      </c>
      <c r="K27">
        <f t="shared" si="7"/>
        <v>-2156.2161276671845</v>
      </c>
      <c r="L27">
        <f t="shared" si="2"/>
        <v>6445.2157906044431</v>
      </c>
      <c r="M27">
        <f t="shared" si="3"/>
        <v>28682350.263306968</v>
      </c>
    </row>
    <row r="28" spans="1:13" x14ac:dyDescent="0.2">
      <c r="A28">
        <v>99</v>
      </c>
      <c r="B28">
        <v>228</v>
      </c>
      <c r="C28" s="5">
        <f t="shared" si="8"/>
        <v>6.9967870169029807</v>
      </c>
      <c r="D28" s="5">
        <f t="shared" si="8"/>
        <v>1.9377730023851494</v>
      </c>
      <c r="E28" s="5">
        <f t="shared" si="9"/>
        <v>198.83631425303275</v>
      </c>
      <c r="F28" s="7">
        <f t="shared" si="0"/>
        <v>-58.327371493934493</v>
      </c>
      <c r="G28" s="7">
        <f t="shared" si="1"/>
        <v>-5774.4097778995147</v>
      </c>
      <c r="H28" s="3">
        <f t="shared" si="4"/>
        <v>7.7840089368128922</v>
      </c>
      <c r="I28" s="3">
        <f t="shared" si="5"/>
        <v>2.5382014930761638</v>
      </c>
      <c r="J28">
        <f t="shared" si="6"/>
        <v>-61.689787920910788</v>
      </c>
      <c r="K28">
        <f t="shared" si="7"/>
        <v>-3241.6742227368836</v>
      </c>
      <c r="L28">
        <f t="shared" si="2"/>
        <v>6140.9024380831434</v>
      </c>
      <c r="M28">
        <f t="shared" si="3"/>
        <v>29148496.065286424</v>
      </c>
    </row>
    <row r="29" spans="1:13" x14ac:dyDescent="0.2">
      <c r="A29">
        <v>70</v>
      </c>
      <c r="B29">
        <v>170</v>
      </c>
      <c r="C29" s="5">
        <f t="shared" si="8"/>
        <v>7.7840089368128922</v>
      </c>
      <c r="D29" s="5">
        <f t="shared" si="8"/>
        <v>2.5382014930761638</v>
      </c>
      <c r="E29" s="5">
        <f t="shared" si="9"/>
        <v>185.45811345214435</v>
      </c>
      <c r="F29" s="7">
        <f t="shared" si="0"/>
        <v>30.916226904288692</v>
      </c>
      <c r="G29" s="7">
        <f t="shared" si="1"/>
        <v>2164.1358833002087</v>
      </c>
      <c r="H29" s="3">
        <f t="shared" si="4"/>
        <v>8.2362201674663407</v>
      </c>
      <c r="I29" s="3">
        <f t="shared" si="5"/>
        <v>2.8516922305650976</v>
      </c>
      <c r="J29">
        <f t="shared" si="6"/>
        <v>-33.907983473350939</v>
      </c>
      <c r="K29">
        <f t="shared" si="7"/>
        <v>-1619.9311909257556</v>
      </c>
      <c r="L29">
        <f t="shared" si="2"/>
        <v>5622.3935028745755</v>
      </c>
      <c r="M29">
        <f t="shared" si="3"/>
        <v>26701994.870896537</v>
      </c>
    </row>
    <row r="30" spans="1:13" x14ac:dyDescent="0.2">
      <c r="A30">
        <v>27</v>
      </c>
      <c r="B30">
        <v>84</v>
      </c>
      <c r="C30" s="5">
        <f t="shared" si="8"/>
        <v>8.2362201674663407</v>
      </c>
      <c r="D30" s="5">
        <f t="shared" si="8"/>
        <v>2.8516922305650976</v>
      </c>
      <c r="E30" s="5">
        <f t="shared" si="9"/>
        <v>85.231910392723975</v>
      </c>
      <c r="F30" s="7">
        <f t="shared" si="0"/>
        <v>2.4638207854479504</v>
      </c>
      <c r="G30" s="7">
        <f t="shared" si="1"/>
        <v>66.52316120709466</v>
      </c>
      <c r="H30" s="3">
        <f t="shared" si="4"/>
        <v>8.5594807333501723</v>
      </c>
      <c r="I30" s="3">
        <f t="shared" si="5"/>
        <v>3.0789329154024836</v>
      </c>
      <c r="J30">
        <f t="shared" si="6"/>
        <v>-22.996442195711268</v>
      </c>
      <c r="K30">
        <f t="shared" si="7"/>
        <v>-1113.9948852859006</v>
      </c>
      <c r="L30">
        <f t="shared" si="2"/>
        <v>5060.761193873399</v>
      </c>
      <c r="M30">
        <f t="shared" si="3"/>
        <v>24032237.916904584</v>
      </c>
    </row>
    <row r="31" spans="1:13" x14ac:dyDescent="0.2">
      <c r="A31">
        <v>17</v>
      </c>
      <c r="B31">
        <v>64</v>
      </c>
      <c r="C31" s="5">
        <f t="shared" si="8"/>
        <v>8.5594807333501723</v>
      </c>
      <c r="D31" s="5">
        <f t="shared" si="8"/>
        <v>3.0789329154024836</v>
      </c>
      <c r="E31" s="5">
        <f t="shared" si="9"/>
        <v>60.901340295192391</v>
      </c>
      <c r="F31" s="7">
        <f t="shared" si="0"/>
        <v>-6.1973194096152184</v>
      </c>
      <c r="G31" s="7">
        <f t="shared" si="1"/>
        <v>-105.35442996345871</v>
      </c>
      <c r="H31" s="3">
        <f t="shared" si="4"/>
        <v>8.8254395857997245</v>
      </c>
      <c r="I31" s="3">
        <f t="shared" si="5"/>
        <v>3.2533973748521992</v>
      </c>
      <c r="J31">
        <f t="shared" si="6"/>
        <v>-17.956705359882452</v>
      </c>
      <c r="K31">
        <f t="shared" si="7"/>
        <v>-811.40274868916799</v>
      </c>
      <c r="L31">
        <f t="shared" si="2"/>
        <v>4558.5257512725384</v>
      </c>
      <c r="M31">
        <f t="shared" si="3"/>
        <v>21630124.080805417</v>
      </c>
    </row>
    <row r="32" spans="1:13" x14ac:dyDescent="0.2">
      <c r="A32">
        <v>8</v>
      </c>
      <c r="B32">
        <v>46</v>
      </c>
      <c r="C32" s="5">
        <f t="shared" si="8"/>
        <v>8.8254395857997245</v>
      </c>
      <c r="D32" s="5">
        <f t="shared" si="8"/>
        <v>3.2533973748521992</v>
      </c>
      <c r="E32" s="5">
        <f t="shared" si="9"/>
        <v>34.852618584617318</v>
      </c>
      <c r="F32" s="7">
        <f t="shared" si="0"/>
        <v>-22.294762830765364</v>
      </c>
      <c r="G32" s="7">
        <f t="shared" si="1"/>
        <v>-178.35810264612292</v>
      </c>
      <c r="H32" s="3">
        <f t="shared" si="4"/>
        <v>9.1242979833935127</v>
      </c>
      <c r="I32" s="3">
        <f t="shared" si="5"/>
        <v>3.39424432669359</v>
      </c>
      <c r="J32">
        <f t="shared" si="6"/>
        <v>-19.258122601147328</v>
      </c>
      <c r="K32">
        <f t="shared" si="7"/>
        <v>-621.48935487625442</v>
      </c>
      <c r="L32">
        <f t="shared" si="2"/>
        <v>4152.3788211132924</v>
      </c>
      <c r="M32">
        <f t="shared" si="3"/>
        <v>19470292.83400283</v>
      </c>
    </row>
    <row r="33" spans="1:15" x14ac:dyDescent="0.2">
      <c r="A33" s="7"/>
      <c r="B33" s="7"/>
      <c r="H33" s="3"/>
      <c r="J33">
        <v>-19.370509429769257</v>
      </c>
      <c r="K33">
        <v>-636.96204313606268</v>
      </c>
      <c r="L33" s="7">
        <v>5489.999378391848</v>
      </c>
      <c r="M33" s="7">
        <v>27555653.260482278</v>
      </c>
      <c r="O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adam.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30722" r:id="rId4" name="Button 2">
              <controlPr defaultSize="0" print="0" autoFill="0" autoPict="0" macro="[0]!adam.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eve"/>
  <dimension ref="A1:P38"/>
  <sheetViews>
    <sheetView zoomScale="120" zoomScaleNormal="130" workbookViewId="0">
      <pane xSplit="3" ySplit="3" topLeftCell="D12" activePane="bottomRight" state="frozen"/>
      <selection pane="topRight" activeCell="D1" sqref="D1"/>
      <selection pane="bottomLeft" activeCell="A4" sqref="A4"/>
      <selection pane="bottomRight" activeCell="F37" sqref="F37"/>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9.1640625" style="5" customWidth="1"/>
    <col min="7" max="7" width="10.83203125" style="7" bestFit="1" customWidth="1"/>
    <col min="8" max="8" width="10.1640625" style="7" bestFit="1" customWidth="1"/>
    <col min="9" max="9" width="8.33203125" bestFit="1" customWidth="1"/>
    <col min="10" max="10" width="5.83203125" bestFit="1" customWidth="1"/>
    <col min="11" max="12" width="6.6640625" customWidth="1"/>
    <col min="13" max="13" width="8.33203125" customWidth="1"/>
    <col min="14" max="14" width="13.1640625" customWidth="1"/>
  </cols>
  <sheetData>
    <row r="1" spans="1:16" x14ac:dyDescent="0.2">
      <c r="B1" t="s">
        <v>21</v>
      </c>
      <c r="C1" s="5">
        <v>31.600403702806751</v>
      </c>
      <c r="D1" s="5" t="s">
        <v>14</v>
      </c>
      <c r="J1" t="s">
        <v>24</v>
      </c>
      <c r="K1">
        <v>0.7</v>
      </c>
      <c r="L1">
        <f>1-K1</f>
        <v>0.30000000000000004</v>
      </c>
      <c r="M1">
        <v>0.9</v>
      </c>
      <c r="N1">
        <f>1-M1</f>
        <v>9.9999999999999978E-2</v>
      </c>
    </row>
    <row r="2" spans="1:16" x14ac:dyDescent="0.2">
      <c r="B2" t="s">
        <v>22</v>
      </c>
      <c r="C2" s="5">
        <v>2.1361502161891996</v>
      </c>
      <c r="D2">
        <v>1</v>
      </c>
      <c r="G2" s="9"/>
      <c r="H2" s="9"/>
    </row>
    <row r="3" spans="1:16" s="2" customFormat="1" x14ac:dyDescent="0.2">
      <c r="A3" s="2" t="s">
        <v>15</v>
      </c>
      <c r="B3" s="2" t="s">
        <v>16</v>
      </c>
      <c r="C3" s="6" t="s">
        <v>21</v>
      </c>
      <c r="D3" s="6" t="s">
        <v>22</v>
      </c>
      <c r="E3" s="6" t="s">
        <v>18</v>
      </c>
      <c r="F3" s="6" t="s">
        <v>1</v>
      </c>
      <c r="G3" s="8" t="s">
        <v>6</v>
      </c>
      <c r="H3" s="8" t="s">
        <v>9</v>
      </c>
      <c r="I3" s="2" t="s">
        <v>13</v>
      </c>
      <c r="J3" s="2" t="s">
        <v>12</v>
      </c>
      <c r="K3">
        <f>K33</f>
        <v>-2.5942163513307364</v>
      </c>
      <c r="L3">
        <f>L33</f>
        <v>-106.89640288854068</v>
      </c>
      <c r="M3">
        <f>M33</f>
        <v>751.00449153420504</v>
      </c>
      <c r="N3">
        <f>N33</f>
        <v>3487763.6463812324</v>
      </c>
      <c r="O3" s="4"/>
      <c r="P3" s="4"/>
    </row>
    <row r="4" spans="1:16" x14ac:dyDescent="0.2">
      <c r="A4">
        <v>14</v>
      </c>
      <c r="B4">
        <v>58</v>
      </c>
      <c r="C4" s="3">
        <f>C1</f>
        <v>31.600403702806751</v>
      </c>
      <c r="D4" s="3">
        <f>C2</f>
        <v>2.1361502161891996</v>
      </c>
      <c r="E4" s="3">
        <f>C4+D4*A4</f>
        <v>61.506506729455545</v>
      </c>
      <c r="F4" s="3">
        <f>(E4-B4)^2</f>
        <v>12.29558944371702</v>
      </c>
      <c r="G4" s="7">
        <f t="shared" ref="G4:G32" si="0">2*(D4*A4+C4-B4)</f>
        <v>7.0130134589110895</v>
      </c>
      <c r="H4" s="7">
        <f t="shared" ref="H4:H32" si="1">G4*A4</f>
        <v>98.182188424755253</v>
      </c>
      <c r="I4" s="3">
        <f>C4-K4*$D$2/SQRT(M4)/$F$38</f>
        <v>31.585671450120842</v>
      </c>
      <c r="J4" s="3">
        <f>D4-L4*$D$2/SQRT(N4)/$F$38</f>
        <v>2.1703323695561303</v>
      </c>
      <c r="K4">
        <f>K3*$K$1+$L$1*G4</f>
        <v>0.28795259174181176</v>
      </c>
      <c r="L4">
        <f>L3*$K$1+$L$1*H4</f>
        <v>-45.37282549455189</v>
      </c>
      <c r="M4">
        <f t="shared" ref="M4:N32" si="2">M3*$M$1+$N$1*G4^2</f>
        <v>680.82227815827127</v>
      </c>
      <c r="N4">
        <f t="shared" si="2"/>
        <v>3139951.2559554968</v>
      </c>
    </row>
    <row r="5" spans="1:16" x14ac:dyDescent="0.2">
      <c r="A5">
        <v>86</v>
      </c>
      <c r="B5">
        <v>202</v>
      </c>
      <c r="C5" s="3">
        <f>I4</f>
        <v>31.585671450120842</v>
      </c>
      <c r="D5" s="3">
        <f>J4</f>
        <v>2.1703323695561303</v>
      </c>
      <c r="E5" s="3">
        <f>C5+D5*A5</f>
        <v>218.23425523194805</v>
      </c>
      <c r="F5" s="3">
        <f t="shared" ref="F5:F32" si="3">(E5-B5)^2</f>
        <v>263.55104293603279</v>
      </c>
      <c r="G5" s="7">
        <f t="shared" si="0"/>
        <v>32.468510463896109</v>
      </c>
      <c r="H5" s="7">
        <f t="shared" si="1"/>
        <v>2792.2918998950654</v>
      </c>
      <c r="I5" s="3">
        <f t="shared" ref="I5:I32" si="4">C5-K5*$D$2/SQRT(M5)/$F$38</f>
        <v>31.090411399292034</v>
      </c>
      <c r="J5" s="3">
        <f t="shared" ref="J5:J32" si="5">D5-L5*$D$2/SQRT(N5)/$F$38</f>
        <v>1.60374222287617</v>
      </c>
      <c r="K5">
        <f t="shared" ref="K5:L20" si="6">K4*$K$1+$L$1*G5</f>
        <v>9.9421199533881026</v>
      </c>
      <c r="L5">
        <f t="shared" si="6"/>
        <v>805.92659212233343</v>
      </c>
      <c r="M5">
        <f t="shared" si="2"/>
        <v>718.16046751685724</v>
      </c>
      <c r="N5">
        <f t="shared" si="2"/>
        <v>3605645.5357819065</v>
      </c>
    </row>
    <row r="6" spans="1:16" x14ac:dyDescent="0.2">
      <c r="A6">
        <v>28</v>
      </c>
      <c r="B6">
        <v>86</v>
      </c>
      <c r="C6" s="3">
        <f>I5</f>
        <v>31.090411399292034</v>
      </c>
      <c r="D6" s="3">
        <f>J5</f>
        <v>1.60374222287617</v>
      </c>
      <c r="E6" s="3">
        <f>C6+D6*A6</f>
        <v>75.995193639824791</v>
      </c>
      <c r="F6" s="3">
        <f t="shared" si="3"/>
        <v>100.09615030460232</v>
      </c>
      <c r="G6" s="7">
        <f t="shared" si="0"/>
        <v>-20.009612720350418</v>
      </c>
      <c r="H6" s="7">
        <f t="shared" si="1"/>
        <v>-560.26915616981171</v>
      </c>
      <c r="I6" s="3">
        <f t="shared" si="4"/>
        <v>31.041668397614355</v>
      </c>
      <c r="J6" s="3">
        <f t="shared" si="5"/>
        <v>1.3116422721319365</v>
      </c>
      <c r="K6">
        <f t="shared" si="6"/>
        <v>0.95660015126654496</v>
      </c>
      <c r="L6">
        <f t="shared" si="6"/>
        <v>396.06786763468983</v>
      </c>
      <c r="M6">
        <f t="shared" si="2"/>
        <v>686.38288088701245</v>
      </c>
      <c r="N6">
        <f t="shared" si="2"/>
        <v>3276471.1349392394</v>
      </c>
    </row>
    <row r="7" spans="1:16" x14ac:dyDescent="0.2">
      <c r="A7">
        <v>51</v>
      </c>
      <c r="B7">
        <v>132</v>
      </c>
      <c r="C7" s="3">
        <f t="shared" ref="C7:D32" si="7">I6</f>
        <v>31.041668397614355</v>
      </c>
      <c r="D7" s="3">
        <f t="shared" si="7"/>
        <v>1.3116422721319365</v>
      </c>
      <c r="E7" s="3">
        <f t="shared" ref="E7:E32" si="8">C7+D7*A7</f>
        <v>97.935424276343127</v>
      </c>
      <c r="F7" s="3">
        <f t="shared" si="3"/>
        <v>1160.3953192327531</v>
      </c>
      <c r="G7" s="7">
        <f t="shared" si="0"/>
        <v>-68.129151447313745</v>
      </c>
      <c r="H7" s="7">
        <f t="shared" si="1"/>
        <v>-3474.5867238130008</v>
      </c>
      <c r="I7" s="3">
        <f t="shared" si="4"/>
        <v>31.844008306680081</v>
      </c>
      <c r="J7" s="3">
        <f t="shared" si="5"/>
        <v>1.8126638992640656</v>
      </c>
      <c r="K7">
        <f t="shared" si="6"/>
        <v>-19.769125328307545</v>
      </c>
      <c r="L7">
        <f t="shared" si="6"/>
        <v>-765.1285097996174</v>
      </c>
      <c r="M7">
        <f t="shared" si="2"/>
        <v>1081.9027204914123</v>
      </c>
      <c r="N7">
        <f t="shared" si="2"/>
        <v>4156099.311575071</v>
      </c>
    </row>
    <row r="8" spans="1:16" x14ac:dyDescent="0.2">
      <c r="A8">
        <v>28</v>
      </c>
      <c r="B8">
        <v>86</v>
      </c>
      <c r="C8" s="3">
        <f t="shared" si="7"/>
        <v>31.844008306680081</v>
      </c>
      <c r="D8" s="3">
        <f t="shared" si="7"/>
        <v>1.8126638992640656</v>
      </c>
      <c r="E8" s="3">
        <f t="shared" si="8"/>
        <v>82.598597486073913</v>
      </c>
      <c r="F8" s="3">
        <f t="shared" si="3"/>
        <v>11.569539061742702</v>
      </c>
      <c r="G8" s="7">
        <f t="shared" si="0"/>
        <v>-6.8028050278521732</v>
      </c>
      <c r="H8" s="7">
        <f t="shared" si="1"/>
        <v>-190.47854077986085</v>
      </c>
      <c r="I8" s="3">
        <f t="shared" si="4"/>
        <v>32.521727056928739</v>
      </c>
      <c r="J8" s="3">
        <f t="shared" si="5"/>
        <v>2.2215946728555851</v>
      </c>
      <c r="K8">
        <f t="shared" si="6"/>
        <v>-15.879229238170932</v>
      </c>
      <c r="L8">
        <f t="shared" si="6"/>
        <v>-592.73351909369046</v>
      </c>
      <c r="M8">
        <f t="shared" si="2"/>
        <v>978.34026406696819</v>
      </c>
      <c r="N8">
        <f t="shared" si="2"/>
        <v>3744117.5878673266</v>
      </c>
    </row>
    <row r="9" spans="1:16" x14ac:dyDescent="0.2">
      <c r="A9">
        <v>29</v>
      </c>
      <c r="B9">
        <v>88</v>
      </c>
      <c r="C9" s="3">
        <f t="shared" si="7"/>
        <v>32.521727056928739</v>
      </c>
      <c r="D9" s="3">
        <f t="shared" si="7"/>
        <v>2.2215946728555851</v>
      </c>
      <c r="E9" s="3">
        <f t="shared" si="8"/>
        <v>96.947972569740713</v>
      </c>
      <c r="F9" s="3">
        <f t="shared" si="3"/>
        <v>80.06621310883223</v>
      </c>
      <c r="G9" s="7">
        <f t="shared" si="0"/>
        <v>17.895945139481427</v>
      </c>
      <c r="H9" s="7">
        <f t="shared" si="1"/>
        <v>518.9824090449614</v>
      </c>
      <c r="I9" s="3">
        <f t="shared" si="4"/>
        <v>32.77568254656309</v>
      </c>
      <c r="J9" s="3">
        <f t="shared" si="5"/>
        <v>2.4093562292668067</v>
      </c>
      <c r="K9">
        <f t="shared" si="6"/>
        <v>-5.7466769248752234</v>
      </c>
      <c r="L9">
        <f t="shared" si="6"/>
        <v>-259.21874065209488</v>
      </c>
      <c r="M9">
        <f t="shared" si="2"/>
        <v>912.53272290380426</v>
      </c>
      <c r="N9">
        <f t="shared" si="2"/>
        <v>3396640.1031704051</v>
      </c>
    </row>
    <row r="10" spans="1:16" x14ac:dyDescent="0.2">
      <c r="A10">
        <v>72</v>
      </c>
      <c r="B10">
        <v>174</v>
      </c>
      <c r="C10" s="3">
        <f t="shared" si="7"/>
        <v>32.77568254656309</v>
      </c>
      <c r="D10" s="3">
        <f t="shared" si="7"/>
        <v>2.4093562292668067</v>
      </c>
      <c r="E10" s="3">
        <f t="shared" si="8"/>
        <v>206.24933105377318</v>
      </c>
      <c r="F10" s="3">
        <f t="shared" si="3"/>
        <v>1040.0193534158589</v>
      </c>
      <c r="G10" s="7">
        <f t="shared" si="0"/>
        <v>64.498662107546352</v>
      </c>
      <c r="H10" s="7">
        <f t="shared" si="1"/>
        <v>4643.9036717433373</v>
      </c>
      <c r="I10" s="3">
        <f t="shared" si="4"/>
        <v>32.194001632369705</v>
      </c>
      <c r="J10" s="3">
        <f t="shared" si="5"/>
        <v>1.7009222187470145</v>
      </c>
      <c r="K10">
        <f t="shared" si="6"/>
        <v>15.326924784851254</v>
      </c>
      <c r="L10">
        <f t="shared" si="6"/>
        <v>1211.717983066535</v>
      </c>
      <c r="M10">
        <f t="shared" si="2"/>
        <v>1237.2871919797672</v>
      </c>
      <c r="N10">
        <f t="shared" si="2"/>
        <v>5213560.2240964891</v>
      </c>
    </row>
    <row r="11" spans="1:16" x14ac:dyDescent="0.2">
      <c r="A11">
        <v>62</v>
      </c>
      <c r="B11">
        <v>154</v>
      </c>
      <c r="C11" s="3">
        <f t="shared" si="7"/>
        <v>32.194001632369705</v>
      </c>
      <c r="D11" s="3">
        <f t="shared" si="7"/>
        <v>1.7009222187470145</v>
      </c>
      <c r="E11" s="3">
        <f t="shared" si="8"/>
        <v>137.6511791946846</v>
      </c>
      <c r="F11" s="3">
        <f t="shared" si="3"/>
        <v>267.28394172431365</v>
      </c>
      <c r="G11" s="7">
        <f t="shared" si="0"/>
        <v>-32.697641610630797</v>
      </c>
      <c r="H11" s="7">
        <f t="shared" si="1"/>
        <v>-2027.2537798591093</v>
      </c>
      <c r="I11" s="3">
        <f t="shared" si="4"/>
        <v>32.158863491896952</v>
      </c>
      <c r="J11" s="3">
        <f t="shared" si="5"/>
        <v>1.5590805888605319</v>
      </c>
      <c r="K11">
        <f t="shared" si="6"/>
        <v>0.91955486620663685</v>
      </c>
      <c r="L11">
        <f t="shared" si="6"/>
        <v>240.02645418884163</v>
      </c>
      <c r="M11">
        <f t="shared" si="2"/>
        <v>1220.4720494715159</v>
      </c>
      <c r="N11">
        <f t="shared" si="2"/>
        <v>5103179.990482145</v>
      </c>
    </row>
    <row r="12" spans="1:16" x14ac:dyDescent="0.2">
      <c r="A12">
        <v>84</v>
      </c>
      <c r="B12">
        <v>198</v>
      </c>
      <c r="C12" s="3">
        <f t="shared" si="7"/>
        <v>32.158863491896952</v>
      </c>
      <c r="D12" s="3">
        <f t="shared" si="7"/>
        <v>1.5590805888605319</v>
      </c>
      <c r="E12" s="3">
        <f t="shared" si="8"/>
        <v>163.12163295618166</v>
      </c>
      <c r="F12" s="3">
        <f t="shared" si="3"/>
        <v>1216.5004876433136</v>
      </c>
      <c r="G12" s="7">
        <f t="shared" si="0"/>
        <v>-69.756734087636687</v>
      </c>
      <c r="H12" s="7">
        <f t="shared" si="1"/>
        <v>-5859.5656633614817</v>
      </c>
      <c r="I12" s="3">
        <f t="shared" si="4"/>
        <v>32.838984638634358</v>
      </c>
      <c r="J12" s="3">
        <f t="shared" si="5"/>
        <v>2.308221432074312</v>
      </c>
      <c r="K12">
        <f t="shared" si="6"/>
        <v>-20.283331819946365</v>
      </c>
      <c r="L12">
        <f t="shared" si="6"/>
        <v>-1589.8511810762557</v>
      </c>
      <c r="M12">
        <f t="shared" si="2"/>
        <v>1585.0250395816897</v>
      </c>
      <c r="N12">
        <f t="shared" si="2"/>
        <v>8026312.9677584181</v>
      </c>
    </row>
    <row r="13" spans="1:16" x14ac:dyDescent="0.2">
      <c r="A13">
        <v>15</v>
      </c>
      <c r="B13">
        <v>60</v>
      </c>
      <c r="C13" s="3">
        <f t="shared" si="7"/>
        <v>32.838984638634358</v>
      </c>
      <c r="D13" s="3">
        <f t="shared" si="7"/>
        <v>2.308221432074312</v>
      </c>
      <c r="E13" s="3">
        <f t="shared" si="8"/>
        <v>67.46230611974903</v>
      </c>
      <c r="F13" s="3">
        <f t="shared" si="3"/>
        <v>55.686012624843826</v>
      </c>
      <c r="G13" s="7">
        <f t="shared" si="0"/>
        <v>14.92461223949806</v>
      </c>
      <c r="H13" s="7">
        <f t="shared" si="1"/>
        <v>223.8691835924709</v>
      </c>
      <c r="I13" s="3">
        <f t="shared" si="4"/>
        <v>33.1799183399825</v>
      </c>
      <c r="J13" s="3">
        <f t="shared" si="5"/>
        <v>2.8274478935697815</v>
      </c>
      <c r="K13">
        <f t="shared" si="6"/>
        <v>-9.7209486021130367</v>
      </c>
      <c r="L13">
        <f t="shared" si="6"/>
        <v>-1045.7350716756378</v>
      </c>
      <c r="M13">
        <f t="shared" si="2"/>
        <v>1448.7969406734583</v>
      </c>
      <c r="N13">
        <f t="shared" si="2"/>
        <v>7228693.4121188121</v>
      </c>
    </row>
    <row r="14" spans="1:16" x14ac:dyDescent="0.2">
      <c r="A14">
        <v>42</v>
      </c>
      <c r="B14">
        <v>114</v>
      </c>
      <c r="C14" s="3">
        <f t="shared" si="7"/>
        <v>33.1799183399825</v>
      </c>
      <c r="D14" s="3">
        <f t="shared" si="7"/>
        <v>2.8274478935697815</v>
      </c>
      <c r="E14" s="3">
        <f t="shared" si="8"/>
        <v>151.93272986991332</v>
      </c>
      <c r="F14" s="3">
        <f t="shared" si="3"/>
        <v>1438.891995383814</v>
      </c>
      <c r="G14" s="7">
        <f t="shared" si="0"/>
        <v>75.865459739826633</v>
      </c>
      <c r="H14" s="7">
        <f t="shared" si="1"/>
        <v>3186.3493090727188</v>
      </c>
      <c r="I14" s="3">
        <f t="shared" si="4"/>
        <v>32.688622622510493</v>
      </c>
      <c r="J14" s="3">
        <f t="shared" si="5"/>
        <v>2.7184647448891694</v>
      </c>
      <c r="K14">
        <f t="shared" si="6"/>
        <v>15.95497390046887</v>
      </c>
      <c r="L14">
        <f t="shared" si="6"/>
        <v>223.89024254886931</v>
      </c>
      <c r="M14">
        <f t="shared" si="2"/>
        <v>1879.474044759638</v>
      </c>
      <c r="N14">
        <f t="shared" si="2"/>
        <v>7521106.26284975</v>
      </c>
    </row>
    <row r="15" spans="1:16" x14ac:dyDescent="0.2">
      <c r="A15">
        <v>62</v>
      </c>
      <c r="B15">
        <v>154</v>
      </c>
      <c r="C15" s="3">
        <f t="shared" si="7"/>
        <v>32.688622622510493</v>
      </c>
      <c r="D15" s="3">
        <f>J14</f>
        <v>2.7184647448891694</v>
      </c>
      <c r="E15" s="3">
        <f t="shared" si="8"/>
        <v>201.23343680563897</v>
      </c>
      <c r="F15" s="3">
        <f t="shared" si="3"/>
        <v>2230.9975524722904</v>
      </c>
      <c r="G15" s="7">
        <f t="shared" si="0"/>
        <v>94.466873611277947</v>
      </c>
      <c r="H15" s="7">
        <f t="shared" si="1"/>
        <v>5856.9461638992325</v>
      </c>
      <c r="I15" s="3">
        <f t="shared" si="4"/>
        <v>31.651055833571128</v>
      </c>
      <c r="J15" s="3">
        <f t="shared" si="5"/>
        <v>1.9184898515584519</v>
      </c>
      <c r="K15">
        <f t="shared" si="6"/>
        <v>39.508543813711597</v>
      </c>
      <c r="L15">
        <f t="shared" si="6"/>
        <v>1913.8070189539785</v>
      </c>
      <c r="M15">
        <f t="shared" si="2"/>
        <v>2583.9256612725903</v>
      </c>
      <c r="N15">
        <f t="shared" si="2"/>
        <v>10199377.473246168</v>
      </c>
    </row>
    <row r="16" spans="1:16" x14ac:dyDescent="0.2">
      <c r="A16">
        <v>47</v>
      </c>
      <c r="B16">
        <v>124</v>
      </c>
      <c r="C16" s="3">
        <f t="shared" si="7"/>
        <v>31.651055833571128</v>
      </c>
      <c r="D16" s="3">
        <f t="shared" si="7"/>
        <v>1.9184898515584519</v>
      </c>
      <c r="E16" s="3">
        <f t="shared" si="8"/>
        <v>121.82007885681836</v>
      </c>
      <c r="F16" s="3">
        <f t="shared" si="3"/>
        <v>4.752056190490368</v>
      </c>
      <c r="G16" s="7">
        <f t="shared" si="0"/>
        <v>-4.3598422863632891</v>
      </c>
      <c r="H16" s="7">
        <f t="shared" si="1"/>
        <v>-204.91258745907459</v>
      </c>
      <c r="I16" s="3">
        <f t="shared" si="4"/>
        <v>30.921977011575589</v>
      </c>
      <c r="J16" s="3">
        <f t="shared" si="5"/>
        <v>1.3554314344362668</v>
      </c>
      <c r="K16">
        <f t="shared" si="6"/>
        <v>26.348027983689128</v>
      </c>
      <c r="L16">
        <f t="shared" si="6"/>
        <v>1278.1911370300625</v>
      </c>
      <c r="M16">
        <f t="shared" si="2"/>
        <v>2327.4339176215276</v>
      </c>
      <c r="N16">
        <f t="shared" si="2"/>
        <v>9183638.6427714694</v>
      </c>
    </row>
    <row r="17" spans="1:14" x14ac:dyDescent="0.2">
      <c r="A17">
        <v>35</v>
      </c>
      <c r="B17">
        <v>100</v>
      </c>
      <c r="C17" s="3">
        <f t="shared" si="7"/>
        <v>30.921977011575589</v>
      </c>
      <c r="D17" s="3">
        <f t="shared" si="7"/>
        <v>1.3554314344362668</v>
      </c>
      <c r="E17" s="3">
        <f t="shared" si="8"/>
        <v>78.362077216844924</v>
      </c>
      <c r="F17" s="3">
        <f t="shared" si="3"/>
        <v>468.19970236978151</v>
      </c>
      <c r="G17" s="7">
        <f t="shared" si="0"/>
        <v>-43.275845566310153</v>
      </c>
      <c r="H17" s="7">
        <f t="shared" si="1"/>
        <v>-1514.6545948208554</v>
      </c>
      <c r="I17" s="3">
        <f t="shared" si="4"/>
        <v>30.769371030223894</v>
      </c>
      <c r="J17" s="3">
        <f t="shared" si="5"/>
        <v>1.1537449466831462</v>
      </c>
      <c r="K17">
        <f t="shared" si="6"/>
        <v>5.4608659186893416</v>
      </c>
      <c r="L17">
        <f t="shared" si="6"/>
        <v>440.337417474787</v>
      </c>
      <c r="M17">
        <f t="shared" si="2"/>
        <v>2281.9704068072874</v>
      </c>
      <c r="N17">
        <f t="shared" si="2"/>
        <v>8494692.6326555163</v>
      </c>
    </row>
    <row r="18" spans="1:14" x14ac:dyDescent="0.2">
      <c r="A18">
        <v>9</v>
      </c>
      <c r="B18">
        <v>48</v>
      </c>
      <c r="C18" s="3">
        <f t="shared" si="7"/>
        <v>30.769371030223894</v>
      </c>
      <c r="D18" s="3">
        <f t="shared" si="7"/>
        <v>1.1537449466831462</v>
      </c>
      <c r="E18" s="3">
        <f t="shared" si="8"/>
        <v>41.153075550372208</v>
      </c>
      <c r="F18" s="3">
        <f t="shared" si="3"/>
        <v>46.880374418910847</v>
      </c>
      <c r="G18" s="7">
        <f t="shared" si="0"/>
        <v>-13.693848899255585</v>
      </c>
      <c r="H18" s="7">
        <f t="shared" si="1"/>
        <v>-123.24464009330026</v>
      </c>
      <c r="I18" s="3">
        <f t="shared" si="4"/>
        <v>30.777744298911035</v>
      </c>
      <c r="J18" s="3">
        <f t="shared" si="5"/>
        <v>1.0227914617886773</v>
      </c>
      <c r="K18">
        <f t="shared" si="6"/>
        <v>-0.28554852669413711</v>
      </c>
      <c r="L18">
        <f t="shared" si="6"/>
        <v>271.26280020436081</v>
      </c>
      <c r="M18">
        <f t="shared" si="2"/>
        <v>2072.5255158941231</v>
      </c>
      <c r="N18">
        <f t="shared" si="2"/>
        <v>7646742.2935211379</v>
      </c>
    </row>
    <row r="19" spans="1:14" x14ac:dyDescent="0.2">
      <c r="A19">
        <v>38</v>
      </c>
      <c r="B19">
        <v>106</v>
      </c>
      <c r="C19" s="3">
        <f t="shared" si="7"/>
        <v>30.777744298911035</v>
      </c>
      <c r="D19" s="3">
        <f t="shared" si="7"/>
        <v>1.0227914617886773</v>
      </c>
      <c r="E19" s="3">
        <f t="shared" si="8"/>
        <v>69.643819846880774</v>
      </c>
      <c r="F19" s="3">
        <f t="shared" si="3"/>
        <v>1321.7718353260602</v>
      </c>
      <c r="G19" s="7">
        <f t="shared" si="0"/>
        <v>-72.712360306238452</v>
      </c>
      <c r="H19" s="7">
        <f t="shared" si="1"/>
        <v>-2763.0696916370612</v>
      </c>
      <c r="I19" s="3">
        <f t="shared" si="4"/>
        <v>31.378358432660253</v>
      </c>
      <c r="J19" s="3">
        <f t="shared" si="5"/>
        <v>1.3313143598341126</v>
      </c>
      <c r="K19">
        <f t="shared" si="6"/>
        <v>-22.013592060557436</v>
      </c>
      <c r="L19">
        <f t="shared" si="6"/>
        <v>-639.03694734806595</v>
      </c>
      <c r="M19">
        <f t="shared" si="2"/>
        <v>2393.9816984351351</v>
      </c>
      <c r="N19">
        <f t="shared" si="2"/>
        <v>7645523.4762533568</v>
      </c>
    </row>
    <row r="20" spans="1:14" x14ac:dyDescent="0.2">
      <c r="A20">
        <v>44</v>
      </c>
      <c r="B20">
        <v>118</v>
      </c>
      <c r="C20" s="3">
        <f t="shared" si="7"/>
        <v>31.378358432660253</v>
      </c>
      <c r="D20" s="3">
        <f t="shared" si="7"/>
        <v>1.3313143598341126</v>
      </c>
      <c r="E20" s="3">
        <f t="shared" si="8"/>
        <v>89.956190265361201</v>
      </c>
      <c r="F20" s="3">
        <f t="shared" si="3"/>
        <v>786.4552644326219</v>
      </c>
      <c r="G20" s="7">
        <f t="shared" si="0"/>
        <v>-56.087619469277598</v>
      </c>
      <c r="H20" s="7">
        <f t="shared" si="1"/>
        <v>-2467.8552566482144</v>
      </c>
      <c r="I20" s="3">
        <f t="shared" si="4"/>
        <v>32.244379368637247</v>
      </c>
      <c r="J20" s="3">
        <f t="shared" si="5"/>
        <v>1.9106422178694253</v>
      </c>
      <c r="K20">
        <f t="shared" si="6"/>
        <v>-32.235800283173489</v>
      </c>
      <c r="L20">
        <f t="shared" si="6"/>
        <v>-1187.6824401381107</v>
      </c>
      <c r="M20">
        <f t="shared" si="2"/>
        <v>2469.16563436467</v>
      </c>
      <c r="N20">
        <f t="shared" si="2"/>
        <v>7490002.0854046438</v>
      </c>
    </row>
    <row r="21" spans="1:14" x14ac:dyDescent="0.2">
      <c r="A21">
        <v>99</v>
      </c>
      <c r="B21">
        <v>228</v>
      </c>
      <c r="C21" s="3">
        <f t="shared" si="7"/>
        <v>32.244379368637247</v>
      </c>
      <c r="D21" s="3">
        <f t="shared" si="7"/>
        <v>1.9106422178694253</v>
      </c>
      <c r="E21" s="3">
        <f t="shared" si="8"/>
        <v>221.39795893771037</v>
      </c>
      <c r="F21" s="3">
        <f t="shared" si="3"/>
        <v>43.586946188158379</v>
      </c>
      <c r="G21" s="7">
        <f t="shared" si="0"/>
        <v>-13.204082124579259</v>
      </c>
      <c r="H21" s="7">
        <f t="shared" si="1"/>
        <v>-1307.2041303333467</v>
      </c>
      <c r="I21" s="3">
        <f t="shared" si="4"/>
        <v>32.992631764743827</v>
      </c>
      <c r="J21" s="3">
        <f t="shared" si="5"/>
        <v>2.5319184590447583</v>
      </c>
      <c r="K21">
        <f t="shared" ref="K21:L32" si="9">K20*$K$1+$L$1*G21</f>
        <v>-26.52628483559522</v>
      </c>
      <c r="L21">
        <f t="shared" si="9"/>
        <v>-1223.5389471966814</v>
      </c>
      <c r="M21">
        <f t="shared" si="2"/>
        <v>2239.6838494034669</v>
      </c>
      <c r="N21">
        <f t="shared" si="2"/>
        <v>6911880.140700236</v>
      </c>
    </row>
    <row r="22" spans="1:14" x14ac:dyDescent="0.2">
      <c r="A22">
        <v>13</v>
      </c>
      <c r="B22">
        <v>56</v>
      </c>
      <c r="C22" s="3">
        <f t="shared" si="7"/>
        <v>32.992631764743827</v>
      </c>
      <c r="D22" s="3">
        <f t="shared" si="7"/>
        <v>2.5319184590447583</v>
      </c>
      <c r="E22" s="3">
        <f t="shared" si="8"/>
        <v>65.907571732325692</v>
      </c>
      <c r="F22" s="3">
        <f t="shared" si="3"/>
        <v>98.159977631179117</v>
      </c>
      <c r="G22" s="7">
        <f t="shared" si="0"/>
        <v>19.815143464651385</v>
      </c>
      <c r="H22" s="7">
        <f t="shared" si="1"/>
        <v>257.596865040468</v>
      </c>
      <c r="I22" s="3">
        <f t="shared" si="4"/>
        <v>33.364383794345684</v>
      </c>
      <c r="J22" s="3">
        <f t="shared" si="5"/>
        <v>2.9487514913837689</v>
      </c>
      <c r="K22">
        <f t="shared" si="9"/>
        <v>-12.623856345521236</v>
      </c>
      <c r="L22">
        <f t="shared" si="9"/>
        <v>-779.19820352553654</v>
      </c>
      <c r="M22">
        <f t="shared" si="2"/>
        <v>2054.9794555155918</v>
      </c>
      <c r="N22">
        <f t="shared" si="2"/>
        <v>6227327.74111808</v>
      </c>
    </row>
    <row r="23" spans="1:14" x14ac:dyDescent="0.2">
      <c r="A23">
        <v>21</v>
      </c>
      <c r="B23">
        <v>72</v>
      </c>
      <c r="C23" s="3">
        <f t="shared" si="7"/>
        <v>33.364383794345684</v>
      </c>
      <c r="D23" s="3">
        <f t="shared" si="7"/>
        <v>2.9487514913837689</v>
      </c>
      <c r="E23" s="3">
        <f t="shared" si="8"/>
        <v>95.28816511340483</v>
      </c>
      <c r="F23" s="3">
        <f t="shared" si="3"/>
        <v>542.33863434920579</v>
      </c>
      <c r="G23" s="7">
        <f t="shared" si="0"/>
        <v>46.57633022680966</v>
      </c>
      <c r="H23" s="7">
        <f t="shared" si="1"/>
        <v>978.10293476300285</v>
      </c>
      <c r="I23" s="3">
        <f t="shared" si="4"/>
        <v>33.213550240977874</v>
      </c>
      <c r="J23" s="3">
        <f t="shared" si="5"/>
        <v>3.0896582000362729</v>
      </c>
      <c r="K23">
        <f t="shared" si="9"/>
        <v>5.1361996261780352</v>
      </c>
      <c r="L23">
        <f t="shared" si="9"/>
        <v>-252.00786203897462</v>
      </c>
      <c r="M23">
        <f t="shared" si="2"/>
        <v>2066.4169637037148</v>
      </c>
      <c r="N23">
        <f t="shared" si="2"/>
        <v>5700263.5021054717</v>
      </c>
    </row>
    <row r="24" spans="1:14" x14ac:dyDescent="0.2">
      <c r="A24">
        <v>28</v>
      </c>
      <c r="B24">
        <v>86</v>
      </c>
      <c r="C24" s="3">
        <f t="shared" si="7"/>
        <v>33.213550240977874</v>
      </c>
      <c r="D24" s="3">
        <f t="shared" si="7"/>
        <v>3.0896582000362729</v>
      </c>
      <c r="E24" s="3">
        <f t="shared" si="8"/>
        <v>119.72397984199353</v>
      </c>
      <c r="F24" s="3">
        <f t="shared" si="3"/>
        <v>1137.3068163831856</v>
      </c>
      <c r="G24" s="7">
        <f t="shared" si="0"/>
        <v>67.447959683987051</v>
      </c>
      <c r="H24" s="7">
        <f t="shared" si="1"/>
        <v>1888.5428711516374</v>
      </c>
      <c r="I24" s="3">
        <f t="shared" si="4"/>
        <v>32.552343979263028</v>
      </c>
      <c r="J24" s="3">
        <f t="shared" si="5"/>
        <v>2.867305984334251</v>
      </c>
      <c r="K24">
        <f t="shared" si="9"/>
        <v>23.829727643520744</v>
      </c>
      <c r="L24">
        <f t="shared" si="9"/>
        <v>390.15735791820913</v>
      </c>
      <c r="M24">
        <f t="shared" si="2"/>
        <v>2314.6979938866175</v>
      </c>
      <c r="N24">
        <f t="shared" si="2"/>
        <v>5486896.5695126913</v>
      </c>
    </row>
    <row r="25" spans="1:14" x14ac:dyDescent="0.2">
      <c r="A25">
        <v>20</v>
      </c>
      <c r="B25">
        <v>70</v>
      </c>
      <c r="C25" s="3">
        <f t="shared" si="7"/>
        <v>32.552343979263028</v>
      </c>
      <c r="D25" s="3">
        <f t="shared" si="7"/>
        <v>2.867305984334251</v>
      </c>
      <c r="E25" s="3">
        <f t="shared" si="8"/>
        <v>89.898463665948043</v>
      </c>
      <c r="F25" s="3">
        <f t="shared" si="3"/>
        <v>395.94885626505442</v>
      </c>
      <c r="G25" s="7">
        <f t="shared" si="0"/>
        <v>39.796927331896086</v>
      </c>
      <c r="H25" s="7">
        <f t="shared" si="1"/>
        <v>795.93854663792172</v>
      </c>
      <c r="I25" s="3">
        <f t="shared" si="4"/>
        <v>31.745381836079474</v>
      </c>
      <c r="J25" s="3">
        <f t="shared" si="5"/>
        <v>2.561750234578879</v>
      </c>
      <c r="K25">
        <f t="shared" si="9"/>
        <v>28.619887550033347</v>
      </c>
      <c r="L25">
        <f t="shared" si="9"/>
        <v>511.89171453412291</v>
      </c>
      <c r="M25">
        <f t="shared" si="2"/>
        <v>2241.6077370039775</v>
      </c>
      <c r="N25">
        <f t="shared" si="2"/>
        <v>5001558.7295638314</v>
      </c>
    </row>
    <row r="26" spans="1:14" x14ac:dyDescent="0.2">
      <c r="A26">
        <v>8</v>
      </c>
      <c r="B26">
        <v>46</v>
      </c>
      <c r="C26" s="3">
        <f t="shared" si="7"/>
        <v>31.745381836079474</v>
      </c>
      <c r="D26" s="3">
        <f t="shared" si="7"/>
        <v>2.561750234578879</v>
      </c>
      <c r="E26" s="3">
        <f t="shared" si="8"/>
        <v>52.239383712710506</v>
      </c>
      <c r="F26" s="3">
        <f t="shared" si="3"/>
        <v>38.929909114437137</v>
      </c>
      <c r="G26" s="7">
        <f t="shared" si="0"/>
        <v>12.478767425421012</v>
      </c>
      <c r="H26" s="7">
        <f t="shared" si="1"/>
        <v>99.830139403368094</v>
      </c>
      <c r="I26" s="3">
        <f t="shared" si="4"/>
        <v>31.041399978582938</v>
      </c>
      <c r="J26" s="3">
        <f t="shared" si="5"/>
        <v>2.3174744050738272</v>
      </c>
      <c r="K26">
        <f t="shared" si="9"/>
        <v>23.777551512649648</v>
      </c>
      <c r="L26">
        <f t="shared" si="9"/>
        <v>388.27324199489647</v>
      </c>
      <c r="M26">
        <f t="shared" si="2"/>
        <v>2033.0189269493546</v>
      </c>
      <c r="N26">
        <f t="shared" si="2"/>
        <v>4502399.4622807782</v>
      </c>
    </row>
    <row r="27" spans="1:14" x14ac:dyDescent="0.2">
      <c r="A27">
        <v>64</v>
      </c>
      <c r="B27">
        <v>158</v>
      </c>
      <c r="C27" s="3">
        <f t="shared" si="7"/>
        <v>31.041399978582938</v>
      </c>
      <c r="D27" s="3">
        <f t="shared" si="7"/>
        <v>2.3174744050738272</v>
      </c>
      <c r="E27" s="3">
        <f t="shared" si="8"/>
        <v>179.35976190330788</v>
      </c>
      <c r="F27" s="3">
        <f t="shared" si="3"/>
        <v>456.23942856600286</v>
      </c>
      <c r="G27" s="7">
        <f t="shared" si="0"/>
        <v>42.719523806615769</v>
      </c>
      <c r="H27" s="7">
        <f t="shared" si="1"/>
        <v>2734.0495236234092</v>
      </c>
      <c r="I27" s="3">
        <f t="shared" si="4"/>
        <v>30.16467587646515</v>
      </c>
      <c r="J27" s="3">
        <f t="shared" si="5"/>
        <v>1.652071357931824</v>
      </c>
      <c r="K27">
        <f t="shared" si="9"/>
        <v>29.460143200839486</v>
      </c>
      <c r="L27">
        <f t="shared" si="9"/>
        <v>1092.0061264834503</v>
      </c>
      <c r="M27">
        <f t="shared" si="2"/>
        <v>2012.2128056808201</v>
      </c>
      <c r="N27">
        <f t="shared" si="2"/>
        <v>4799662.1958152391</v>
      </c>
    </row>
    <row r="28" spans="1:14" x14ac:dyDescent="0.2">
      <c r="A28">
        <v>99</v>
      </c>
      <c r="B28">
        <v>228</v>
      </c>
      <c r="C28" s="3">
        <f t="shared" si="7"/>
        <v>30.16467587646515</v>
      </c>
      <c r="D28" s="3">
        <f t="shared" si="7"/>
        <v>1.652071357931824</v>
      </c>
      <c r="E28" s="3">
        <f t="shared" si="8"/>
        <v>193.71974031171573</v>
      </c>
      <c r="F28" s="3">
        <f t="shared" si="3"/>
        <v>1175.136204296208</v>
      </c>
      <c r="G28" s="7">
        <f t="shared" si="0"/>
        <v>-68.56051937656855</v>
      </c>
      <c r="H28" s="7">
        <f t="shared" si="1"/>
        <v>-6787.4914182802868</v>
      </c>
      <c r="I28" s="3">
        <f t="shared" si="4"/>
        <v>30.163168073428476</v>
      </c>
      <c r="J28" s="3">
        <f t="shared" si="5"/>
        <v>2.220339263518361</v>
      </c>
      <c r="K28">
        <f t="shared" si="9"/>
        <v>5.3944427617071966E-2</v>
      </c>
      <c r="L28">
        <f t="shared" si="9"/>
        <v>-1271.8431369456712</v>
      </c>
      <c r="M28">
        <f t="shared" si="2"/>
        <v>2281.0460068312213</v>
      </c>
      <c r="N28">
        <f t="shared" si="2"/>
        <v>8926699.9515565671</v>
      </c>
    </row>
    <row r="29" spans="1:14" x14ac:dyDescent="0.2">
      <c r="A29">
        <v>70</v>
      </c>
      <c r="B29">
        <v>170</v>
      </c>
      <c r="C29" s="3">
        <f t="shared" si="7"/>
        <v>30.163168073428476</v>
      </c>
      <c r="D29" s="3">
        <f t="shared" si="7"/>
        <v>2.220339263518361</v>
      </c>
      <c r="E29" s="3">
        <f t="shared" si="8"/>
        <v>185.58691651971372</v>
      </c>
      <c r="F29" s="3">
        <f t="shared" si="3"/>
        <v>242.95196659252463</v>
      </c>
      <c r="G29" s="7">
        <f t="shared" si="0"/>
        <v>31.17383303942745</v>
      </c>
      <c r="H29" s="7">
        <f t="shared" si="1"/>
        <v>2182.1683127599217</v>
      </c>
      <c r="I29" s="3">
        <f t="shared" si="4"/>
        <v>29.892837632862918</v>
      </c>
      <c r="J29" s="3">
        <f t="shared" si="5"/>
        <v>2.3281701622243456</v>
      </c>
      <c r="K29">
        <f t="shared" si="9"/>
        <v>9.3899110111601871</v>
      </c>
      <c r="L29">
        <f t="shared" si="9"/>
        <v>-235.63970203399322</v>
      </c>
      <c r="M29">
        <f t="shared" si="2"/>
        <v>2150.1221927851093</v>
      </c>
      <c r="N29">
        <f t="shared" si="2"/>
        <v>8510215.8109222595</v>
      </c>
    </row>
    <row r="30" spans="1:14" x14ac:dyDescent="0.2">
      <c r="A30">
        <v>27</v>
      </c>
      <c r="B30">
        <v>84</v>
      </c>
      <c r="C30" s="3">
        <f t="shared" si="7"/>
        <v>29.892837632862918</v>
      </c>
      <c r="D30" s="3">
        <f t="shared" si="7"/>
        <v>2.3281701622243456</v>
      </c>
      <c r="E30" s="3">
        <f t="shared" si="8"/>
        <v>92.753432012920243</v>
      </c>
      <c r="F30" s="3">
        <f t="shared" si="3"/>
        <v>76.622572004816931</v>
      </c>
      <c r="G30" s="7">
        <f t="shared" si="0"/>
        <v>17.506864025840486</v>
      </c>
      <c r="H30" s="7">
        <f t="shared" si="1"/>
        <v>472.68532869769308</v>
      </c>
      <c r="I30" s="3">
        <f t="shared" si="4"/>
        <v>29.536795867128934</v>
      </c>
      <c r="J30" s="3">
        <f t="shared" si="5"/>
        <v>2.3393168408619092</v>
      </c>
      <c r="K30">
        <f t="shared" si="9"/>
        <v>11.824996915564277</v>
      </c>
      <c r="L30">
        <f t="shared" si="9"/>
        <v>-23.142192814487316</v>
      </c>
      <c r="M30">
        <f t="shared" si="2"/>
        <v>1965.7590023085252</v>
      </c>
      <c r="N30">
        <f t="shared" si="2"/>
        <v>7681537.3718266385</v>
      </c>
    </row>
    <row r="31" spans="1:14" x14ac:dyDescent="0.2">
      <c r="A31">
        <v>17</v>
      </c>
      <c r="B31">
        <v>64</v>
      </c>
      <c r="C31" s="3">
        <f t="shared" si="7"/>
        <v>29.536795867128934</v>
      </c>
      <c r="D31" s="3">
        <f t="shared" si="7"/>
        <v>2.3393168408619092</v>
      </c>
      <c r="E31" s="3">
        <f t="shared" si="8"/>
        <v>69.305182161781389</v>
      </c>
      <c r="F31" s="3">
        <f t="shared" si="3"/>
        <v>28.144957769683447</v>
      </c>
      <c r="G31" s="7">
        <f t="shared" si="0"/>
        <v>10.610364323562777</v>
      </c>
      <c r="H31" s="7">
        <f t="shared" si="1"/>
        <v>180.37619350056721</v>
      </c>
      <c r="I31" s="3">
        <f t="shared" si="4"/>
        <v>29.174211672900675</v>
      </c>
      <c r="J31" s="3">
        <f t="shared" si="5"/>
        <v>2.3200722181776232</v>
      </c>
      <c r="K31">
        <f t="shared" si="9"/>
        <v>11.460607137963827</v>
      </c>
      <c r="L31">
        <f t="shared" si="9"/>
        <v>37.913323080029059</v>
      </c>
      <c r="M31">
        <f t="shared" si="2"/>
        <v>1780.4410851855459</v>
      </c>
      <c r="N31">
        <f t="shared" si="2"/>
        <v>6916637.1917621503</v>
      </c>
    </row>
    <row r="32" spans="1:14" x14ac:dyDescent="0.2">
      <c r="A32">
        <v>8</v>
      </c>
      <c r="B32">
        <v>46</v>
      </c>
      <c r="C32" s="3">
        <f t="shared" si="7"/>
        <v>29.174211672900675</v>
      </c>
      <c r="D32" s="3">
        <f t="shared" si="7"/>
        <v>2.3200722181776232</v>
      </c>
      <c r="E32" s="3">
        <f t="shared" si="8"/>
        <v>47.734789418321661</v>
      </c>
      <c r="F32" s="3">
        <f t="shared" si="3"/>
        <v>3.0094943259208069</v>
      </c>
      <c r="G32" s="7">
        <f t="shared" si="0"/>
        <v>3.469578836643322</v>
      </c>
      <c r="H32" s="7">
        <f t="shared" si="1"/>
        <v>27.756630693146576</v>
      </c>
      <c r="I32" s="3">
        <f t="shared" si="4"/>
        <v>28.872075162566954</v>
      </c>
      <c r="J32" s="3">
        <f t="shared" si="5"/>
        <v>2.3014170288630362</v>
      </c>
      <c r="K32">
        <f t="shared" si="9"/>
        <v>9.0632986475676738</v>
      </c>
      <c r="L32">
        <f t="shared" si="9"/>
        <v>34.866315363964318</v>
      </c>
      <c r="M32">
        <f t="shared" si="2"/>
        <v>1603.6007743973596</v>
      </c>
      <c r="N32">
        <f t="shared" si="2"/>
        <v>6225050.5156406788</v>
      </c>
    </row>
    <row r="33" spans="1:16" x14ac:dyDescent="0.2">
      <c r="A33" s="7"/>
      <c r="B33" s="7"/>
      <c r="E33" s="5" t="s">
        <v>25</v>
      </c>
      <c r="F33" s="5">
        <f>SQRT(SUM(F4:F32))</f>
        <v>121.42400171949679</v>
      </c>
      <c r="I33" s="3"/>
      <c r="K33">
        <v>-2.5942163513307364</v>
      </c>
      <c r="L33">
        <v>-106.89640288854068</v>
      </c>
      <c r="M33" s="7">
        <v>751.00449153420504</v>
      </c>
      <c r="N33" s="7">
        <v>3487763.6463812324</v>
      </c>
      <c r="P33" s="10"/>
    </row>
    <row r="34" spans="1:16" x14ac:dyDescent="0.2">
      <c r="E34" s="5" t="s">
        <v>26</v>
      </c>
      <c r="F34" s="5">
        <v>83.970982939900779</v>
      </c>
    </row>
    <row r="35" spans="1:16" x14ac:dyDescent="0.2">
      <c r="E35" s="5" t="s">
        <v>27</v>
      </c>
      <c r="F35" s="5">
        <v>65.740292741703129</v>
      </c>
    </row>
    <row r="36" spans="1:16" x14ac:dyDescent="0.2">
      <c r="E36" s="5" t="s">
        <v>28</v>
      </c>
      <c r="F36" s="7">
        <f>ABS(ft_1-ft_2)/MIN(ft_1,ft_2)</f>
        <v>0.27731379703201103</v>
      </c>
    </row>
    <row r="37" spans="1:16" x14ac:dyDescent="0.2">
      <c r="E37" s="5" t="s">
        <v>29</v>
      </c>
      <c r="F37" s="7">
        <v>0.80151140615663596</v>
      </c>
      <c r="H37" s="7" t="s">
        <v>24</v>
      </c>
    </row>
    <row r="38" spans="1:16" x14ac:dyDescent="0.2">
      <c r="E38" s="5" t="s">
        <v>30</v>
      </c>
      <c r="F38" s="7">
        <f>dt_1*H38+(1-H38)*rtee</f>
        <v>0.74909164524417349</v>
      </c>
      <c r="H38" s="7">
        <v>0.9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eve.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37890" r:id="rId4" name="Button 2">
              <controlPr defaultSize="0" print="0" autoFill="0" autoPict="0" macro="[0]!eve.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nnealing"/>
  <dimension ref="A1:J33"/>
  <sheetViews>
    <sheetView topLeftCell="A2" zoomScale="120" zoomScaleNormal="120" workbookViewId="0">
      <selection activeCell="J1" sqref="J1"/>
    </sheetView>
  </sheetViews>
  <sheetFormatPr baseColWidth="10" defaultColWidth="8.83203125" defaultRowHeight="15" x14ac:dyDescent="0.2"/>
  <cols>
    <col min="1" max="1" width="9.6640625" customWidth="1"/>
    <col min="2" max="2" width="3.83203125" bestFit="1" customWidth="1"/>
    <col min="3" max="5" width="9.1640625" style="5"/>
    <col min="6" max="6" width="9" bestFit="1" customWidth="1"/>
    <col min="7" max="7" width="12.83203125" customWidth="1"/>
    <col min="8" max="8" width="13.1640625" customWidth="1"/>
    <col min="9" max="9" width="9" bestFit="1" customWidth="1"/>
  </cols>
  <sheetData>
    <row r="1" spans="1:10" x14ac:dyDescent="0.2">
      <c r="B1" t="s">
        <v>21</v>
      </c>
      <c r="C1" s="5">
        <v>27.052424244089472</v>
      </c>
      <c r="D1" s="5" t="s">
        <v>14</v>
      </c>
      <c r="F1">
        <v>4.5800844401545078</v>
      </c>
      <c r="G1">
        <v>255.89482803317142</v>
      </c>
      <c r="H1">
        <v>100</v>
      </c>
      <c r="J1">
        <v>3.1176536655983821E-2</v>
      </c>
    </row>
    <row r="2" spans="1:10" x14ac:dyDescent="0.2">
      <c r="B2" t="s">
        <v>22</v>
      </c>
      <c r="C2" s="5">
        <v>2.0432754882460427</v>
      </c>
      <c r="D2">
        <v>6.25E-2</v>
      </c>
      <c r="F2">
        <f>$D$2/F1</f>
        <v>1.3646036621519489E-2</v>
      </c>
      <c r="G2">
        <f>$D$2/G1</f>
        <v>2.4424096602647312E-4</v>
      </c>
    </row>
    <row r="3" spans="1:10" s="2" customFormat="1" x14ac:dyDescent="0.2">
      <c r="A3" s="2" t="s">
        <v>15</v>
      </c>
      <c r="B3" s="2" t="s">
        <v>16</v>
      </c>
      <c r="C3" s="6" t="s">
        <v>21</v>
      </c>
      <c r="D3" s="6" t="s">
        <v>22</v>
      </c>
      <c r="E3" s="6" t="s">
        <v>18</v>
      </c>
      <c r="F3" s="2" t="s">
        <v>6</v>
      </c>
      <c r="G3" s="2" t="s">
        <v>9</v>
      </c>
      <c r="H3" s="2" t="s">
        <v>12</v>
      </c>
      <c r="I3" s="2" t="s">
        <v>13</v>
      </c>
    </row>
    <row r="4" spans="1:10" x14ac:dyDescent="0.2">
      <c r="A4">
        <v>14</v>
      </c>
      <c r="B4">
        <v>58</v>
      </c>
      <c r="C4" s="5">
        <f>C1</f>
        <v>27.052424244089472</v>
      </c>
      <c r="D4" s="5">
        <f>C2</f>
        <v>2.0432754882460427</v>
      </c>
      <c r="E4" s="5">
        <f>C4+D4*A4</f>
        <v>55.658281079534071</v>
      </c>
      <c r="F4" s="3">
        <f t="shared" ref="F4:F32" si="0">2*(D4*A4+C4-B4)</f>
        <v>-4.6834378409318589</v>
      </c>
      <c r="G4" s="3">
        <f t="shared" ref="G4:G32" si="1">F4*A4</f>
        <v>-65.568129773046024</v>
      </c>
      <c r="H4" s="3">
        <f t="shared" ref="H4:H32" si="2">D4-G4*$G$2</f>
        <v>2.0592899116023604</v>
      </c>
      <c r="I4" s="3">
        <f t="shared" ref="I4:I32" si="3">C4-F4*$F$2</f>
        <v>27.11633460838144</v>
      </c>
    </row>
    <row r="5" spans="1:10" x14ac:dyDescent="0.2">
      <c r="A5">
        <v>86</v>
      </c>
      <c r="B5">
        <v>202</v>
      </c>
      <c r="C5" s="5">
        <f>I4</f>
        <v>27.11633460838144</v>
      </c>
      <c r="D5" s="5">
        <f>H4</f>
        <v>2.0592899116023604</v>
      </c>
      <c r="E5" s="5">
        <f>C5+D5*A5</f>
        <v>204.21526700618443</v>
      </c>
      <c r="F5" s="3">
        <f t="shared" si="0"/>
        <v>4.4305340123688666</v>
      </c>
      <c r="G5" s="3">
        <f t="shared" si="1"/>
        <v>381.02592506372253</v>
      </c>
      <c r="H5" s="3">
        <f t="shared" si="2"/>
        <v>1.9662277715836662</v>
      </c>
      <c r="I5" s="3">
        <f t="shared" si="3"/>
        <v>27.055875378995765</v>
      </c>
    </row>
    <row r="6" spans="1:10" x14ac:dyDescent="0.2">
      <c r="A6">
        <v>28</v>
      </c>
      <c r="B6">
        <v>86</v>
      </c>
      <c r="C6" s="5">
        <f>I5</f>
        <v>27.055875378995765</v>
      </c>
      <c r="D6" s="5">
        <f>H5</f>
        <v>1.9662277715836662</v>
      </c>
      <c r="E6" s="5">
        <f>C6+D6*A6</f>
        <v>82.110252983338427</v>
      </c>
      <c r="F6" s="3">
        <f t="shared" si="0"/>
        <v>-7.7794940333231466</v>
      </c>
      <c r="G6" s="3">
        <f t="shared" si="1"/>
        <v>-217.8258329330481</v>
      </c>
      <c r="H6" s="3">
        <f t="shared" si="2"/>
        <v>2.0194297634447551</v>
      </c>
      <c r="I6" s="3">
        <f t="shared" si="3"/>
        <v>27.162034639471386</v>
      </c>
    </row>
    <row r="7" spans="1:10" x14ac:dyDescent="0.2">
      <c r="A7">
        <v>51</v>
      </c>
      <c r="B7">
        <v>132</v>
      </c>
      <c r="C7" s="5">
        <f t="shared" ref="C7:C32" si="4">I6</f>
        <v>27.162034639471386</v>
      </c>
      <c r="D7" s="5">
        <f t="shared" ref="D7:D32" si="5">H6</f>
        <v>2.0194297634447551</v>
      </c>
      <c r="E7" s="5">
        <f t="shared" ref="E7:E32" si="6">C7+D7*A7</f>
        <v>130.1529525751539</v>
      </c>
      <c r="F7" s="3">
        <f t="shared" si="0"/>
        <v>-3.6940948496921919</v>
      </c>
      <c r="G7" s="3">
        <f t="shared" si="1"/>
        <v>-188.39883733430179</v>
      </c>
      <c r="H7" s="3">
        <f t="shared" si="2"/>
        <v>2.0654444774735494</v>
      </c>
      <c r="I7" s="3">
        <f t="shared" si="3"/>
        <v>27.212444393073653</v>
      </c>
    </row>
    <row r="8" spans="1:10" x14ac:dyDescent="0.2">
      <c r="A8">
        <v>28</v>
      </c>
      <c r="B8">
        <v>86</v>
      </c>
      <c r="C8" s="5">
        <f t="shared" si="4"/>
        <v>27.212444393073653</v>
      </c>
      <c r="D8" s="5">
        <f t="shared" si="5"/>
        <v>2.0654444774735494</v>
      </c>
      <c r="E8" s="5">
        <f t="shared" si="6"/>
        <v>85.044889762333042</v>
      </c>
      <c r="F8" s="3">
        <f t="shared" si="0"/>
        <v>-1.9102204753339151</v>
      </c>
      <c r="G8" s="3">
        <f t="shared" si="1"/>
        <v>-53.486173309349624</v>
      </c>
      <c r="H8" s="3">
        <f t="shared" si="2"/>
        <v>2.0785079921116845</v>
      </c>
      <c r="I8" s="3">
        <f t="shared" si="3"/>
        <v>27.238511331635237</v>
      </c>
    </row>
    <row r="9" spans="1:10" x14ac:dyDescent="0.2">
      <c r="A9">
        <v>29</v>
      </c>
      <c r="B9">
        <v>88</v>
      </c>
      <c r="C9" s="5">
        <f t="shared" si="4"/>
        <v>27.238511331635237</v>
      </c>
      <c r="D9" s="5">
        <f t="shared" si="5"/>
        <v>2.0785079921116845</v>
      </c>
      <c r="E9" s="5">
        <f t="shared" si="6"/>
        <v>87.515243102874081</v>
      </c>
      <c r="F9" s="3">
        <f t="shared" si="0"/>
        <v>-0.96951379425183859</v>
      </c>
      <c r="G9" s="3">
        <f t="shared" si="1"/>
        <v>-28.115900033303319</v>
      </c>
      <c r="H9" s="3">
        <f t="shared" si="2"/>
        <v>2.0853750466965222</v>
      </c>
      <c r="I9" s="3">
        <f t="shared" si="3"/>
        <v>27.251741352376666</v>
      </c>
    </row>
    <row r="10" spans="1:10" x14ac:dyDescent="0.2">
      <c r="A10">
        <v>72</v>
      </c>
      <c r="B10">
        <v>174</v>
      </c>
      <c r="C10" s="5">
        <f t="shared" si="4"/>
        <v>27.251741352376666</v>
      </c>
      <c r="D10" s="5">
        <f t="shared" si="5"/>
        <v>2.0853750466965222</v>
      </c>
      <c r="E10" s="5">
        <f t="shared" si="6"/>
        <v>177.39874471452626</v>
      </c>
      <c r="F10" s="3">
        <f t="shared" si="0"/>
        <v>6.7974894290525185</v>
      </c>
      <c r="G10" s="3">
        <f t="shared" si="1"/>
        <v>489.41923889178133</v>
      </c>
      <c r="H10" s="3">
        <f t="shared" si="2"/>
        <v>1.9658388189976523</v>
      </c>
      <c r="I10" s="3">
        <f t="shared" si="3"/>
        <v>27.158982562693424</v>
      </c>
    </row>
    <row r="11" spans="1:10" x14ac:dyDescent="0.2">
      <c r="A11">
        <v>62</v>
      </c>
      <c r="B11">
        <v>154</v>
      </c>
      <c r="C11" s="5">
        <f t="shared" si="4"/>
        <v>27.158982562693424</v>
      </c>
      <c r="D11" s="5">
        <f t="shared" si="5"/>
        <v>1.9658388189976523</v>
      </c>
      <c r="E11" s="5">
        <f t="shared" si="6"/>
        <v>149.04098934054787</v>
      </c>
      <c r="F11" s="3">
        <f t="shared" si="0"/>
        <v>-9.9180213189042661</v>
      </c>
      <c r="G11" s="3">
        <f t="shared" si="1"/>
        <v>-614.9173217720645</v>
      </c>
      <c r="H11" s="3">
        <f t="shared" si="2"/>
        <v>2.1160268196936731</v>
      </c>
      <c r="I11" s="3">
        <f t="shared" si="3"/>
        <v>27.294324244824203</v>
      </c>
    </row>
    <row r="12" spans="1:10" x14ac:dyDescent="0.2">
      <c r="A12">
        <v>84</v>
      </c>
      <c r="B12">
        <v>198</v>
      </c>
      <c r="C12" s="5">
        <f t="shared" si="4"/>
        <v>27.294324244824203</v>
      </c>
      <c r="D12" s="5">
        <f t="shared" si="5"/>
        <v>2.1160268196936731</v>
      </c>
      <c r="E12" s="5">
        <f t="shared" si="6"/>
        <v>205.04057709909273</v>
      </c>
      <c r="F12" s="3">
        <f t="shared" si="0"/>
        <v>14.081154198185459</v>
      </c>
      <c r="G12" s="3">
        <f t="shared" si="1"/>
        <v>1182.8169526475785</v>
      </c>
      <c r="H12" s="3">
        <f t="shared" si="2"/>
        <v>1.8271344645465395</v>
      </c>
      <c r="I12" s="3">
        <f t="shared" si="3"/>
        <v>27.1021722989625</v>
      </c>
    </row>
    <row r="13" spans="1:10" x14ac:dyDescent="0.2">
      <c r="A13">
        <v>15</v>
      </c>
      <c r="B13">
        <v>60</v>
      </c>
      <c r="C13" s="5">
        <f t="shared" si="4"/>
        <v>27.1021722989625</v>
      </c>
      <c r="D13" s="5">
        <f t="shared" si="5"/>
        <v>1.8271344645465395</v>
      </c>
      <c r="E13" s="5">
        <f t="shared" si="6"/>
        <v>54.509189267160593</v>
      </c>
      <c r="F13" s="3">
        <f t="shared" si="0"/>
        <v>-10.981621465678813</v>
      </c>
      <c r="G13" s="3">
        <f t="shared" si="1"/>
        <v>-164.7243219851822</v>
      </c>
      <c r="H13" s="3">
        <f t="shared" si="2"/>
        <v>1.8673668920762563</v>
      </c>
      <c r="I13" s="3">
        <f t="shared" si="3"/>
        <v>27.252027907646816</v>
      </c>
    </row>
    <row r="14" spans="1:10" x14ac:dyDescent="0.2">
      <c r="A14">
        <v>42</v>
      </c>
      <c r="B14">
        <v>114</v>
      </c>
      <c r="C14" s="5">
        <f t="shared" si="4"/>
        <v>27.252027907646816</v>
      </c>
      <c r="D14" s="5">
        <f t="shared" si="5"/>
        <v>1.8673668920762563</v>
      </c>
      <c r="E14" s="5">
        <f t="shared" si="6"/>
        <v>105.68143737484958</v>
      </c>
      <c r="F14" s="3">
        <f t="shared" si="0"/>
        <v>-16.637125250300841</v>
      </c>
      <c r="G14" s="3">
        <f t="shared" si="1"/>
        <v>-698.75926051263536</v>
      </c>
      <c r="H14" s="3">
        <f t="shared" si="2"/>
        <v>2.0380325288838064</v>
      </c>
      <c r="I14" s="3">
        <f t="shared" si="3"/>
        <v>27.479058728089228</v>
      </c>
    </row>
    <row r="15" spans="1:10" x14ac:dyDescent="0.2">
      <c r="A15">
        <v>62</v>
      </c>
      <c r="B15">
        <v>154</v>
      </c>
      <c r="C15" s="5">
        <f>I14</f>
        <v>27.479058728089228</v>
      </c>
      <c r="D15" s="5">
        <f>H14</f>
        <v>2.0380325288838064</v>
      </c>
      <c r="E15" s="5">
        <f t="shared" si="6"/>
        <v>153.83707551888523</v>
      </c>
      <c r="F15" s="3">
        <f t="shared" si="0"/>
        <v>-0.32584896222954285</v>
      </c>
      <c r="G15" s="3">
        <f t="shared" si="1"/>
        <v>-20.202635658231657</v>
      </c>
      <c r="H15" s="3">
        <f t="shared" si="2"/>
        <v>2.0429668401332539</v>
      </c>
      <c r="I15" s="3">
        <f t="shared" si="3"/>
        <v>27.483505274960898</v>
      </c>
    </row>
    <row r="16" spans="1:10" x14ac:dyDescent="0.2">
      <c r="A16">
        <v>47</v>
      </c>
      <c r="B16">
        <v>124</v>
      </c>
      <c r="C16" s="5">
        <f t="shared" si="4"/>
        <v>27.483505274960898</v>
      </c>
      <c r="D16" s="5">
        <f t="shared" si="5"/>
        <v>2.0429668401332539</v>
      </c>
      <c r="E16" s="5">
        <f t="shared" si="6"/>
        <v>123.50294676122382</v>
      </c>
      <c r="F16" s="3">
        <f t="shared" si="0"/>
        <v>-0.99410647755235004</v>
      </c>
      <c r="G16" s="3">
        <f t="shared" si="1"/>
        <v>-46.723004444960452</v>
      </c>
      <c r="H16" s="3">
        <f t="shared" si="2"/>
        <v>2.0543785118745501</v>
      </c>
      <c r="I16" s="3">
        <f t="shared" si="3"/>
        <v>27.497070888359268</v>
      </c>
    </row>
    <row r="17" spans="1:9" x14ac:dyDescent="0.2">
      <c r="A17">
        <v>35</v>
      </c>
      <c r="B17">
        <v>100</v>
      </c>
      <c r="C17" s="5">
        <f t="shared" si="4"/>
        <v>27.497070888359268</v>
      </c>
      <c r="D17" s="5">
        <f t="shared" si="5"/>
        <v>2.0543785118745501</v>
      </c>
      <c r="E17" s="5">
        <f t="shared" si="6"/>
        <v>99.400318803968531</v>
      </c>
      <c r="F17" s="3">
        <f t="shared" si="0"/>
        <v>-1.1993623920629375</v>
      </c>
      <c r="G17" s="3">
        <f t="shared" si="1"/>
        <v>-41.977683722202812</v>
      </c>
      <c r="H17" s="3">
        <f t="shared" si="2"/>
        <v>2.0646311818984149</v>
      </c>
      <c r="I17" s="3">
        <f t="shared" si="3"/>
        <v>27.513437431483833</v>
      </c>
    </row>
    <row r="18" spans="1:9" x14ac:dyDescent="0.2">
      <c r="A18">
        <v>9</v>
      </c>
      <c r="B18">
        <v>48</v>
      </c>
      <c r="C18" s="5">
        <f t="shared" si="4"/>
        <v>27.513437431483833</v>
      </c>
      <c r="D18" s="5">
        <f t="shared" si="5"/>
        <v>2.0646311818984149</v>
      </c>
      <c r="E18" s="5">
        <f t="shared" si="6"/>
        <v>46.095118068569562</v>
      </c>
      <c r="F18" s="3">
        <f t="shared" si="0"/>
        <v>-3.8097638628608763</v>
      </c>
      <c r="G18" s="3">
        <f t="shared" si="1"/>
        <v>-34.287874765747887</v>
      </c>
      <c r="H18" s="3">
        <f t="shared" si="2"/>
        <v>2.0730056855541958</v>
      </c>
      <c r="I18" s="3">
        <f t="shared" si="3"/>
        <v>27.565425608675774</v>
      </c>
    </row>
    <row r="19" spans="1:9" x14ac:dyDescent="0.2">
      <c r="A19">
        <v>38</v>
      </c>
      <c r="B19">
        <v>106</v>
      </c>
      <c r="C19" s="5">
        <f t="shared" si="4"/>
        <v>27.565425608675774</v>
      </c>
      <c r="D19" s="5">
        <f t="shared" si="5"/>
        <v>2.0730056855541958</v>
      </c>
      <c r="E19" s="5">
        <f t="shared" si="6"/>
        <v>106.33964165973521</v>
      </c>
      <c r="F19" s="3">
        <f t="shared" si="0"/>
        <v>0.67928331947041443</v>
      </c>
      <c r="G19" s="3">
        <f t="shared" si="1"/>
        <v>25.812766139875748</v>
      </c>
      <c r="H19" s="3">
        <f t="shared" si="2"/>
        <v>2.0667011506163773</v>
      </c>
      <c r="I19" s="3">
        <f t="shared" si="3"/>
        <v>27.556156083621893</v>
      </c>
    </row>
    <row r="20" spans="1:9" x14ac:dyDescent="0.2">
      <c r="A20">
        <v>44</v>
      </c>
      <c r="B20">
        <v>118</v>
      </c>
      <c r="C20" s="5">
        <f t="shared" si="4"/>
        <v>27.556156083621893</v>
      </c>
      <c r="D20" s="5">
        <f t="shared" si="5"/>
        <v>2.0667011506163773</v>
      </c>
      <c r="E20" s="5">
        <f t="shared" si="6"/>
        <v>118.49100671074248</v>
      </c>
      <c r="F20" s="3">
        <f t="shared" si="0"/>
        <v>0.98201342148496451</v>
      </c>
      <c r="G20" s="3">
        <f t="shared" si="1"/>
        <v>43.208590545338438</v>
      </c>
      <c r="H20" s="3">
        <f t="shared" si="2"/>
        <v>2.0561478427209416</v>
      </c>
      <c r="I20" s="3">
        <f t="shared" si="3"/>
        <v>27.542755492509485</v>
      </c>
    </row>
    <row r="21" spans="1:9" x14ac:dyDescent="0.2">
      <c r="A21">
        <v>99</v>
      </c>
      <c r="B21">
        <v>228</v>
      </c>
      <c r="C21" s="5">
        <f t="shared" si="4"/>
        <v>27.542755492509485</v>
      </c>
      <c r="D21" s="5">
        <f t="shared" si="5"/>
        <v>2.0561478427209416</v>
      </c>
      <c r="E21" s="5">
        <f t="shared" si="6"/>
        <v>231.10139192188271</v>
      </c>
      <c r="F21" s="3">
        <f t="shared" si="0"/>
        <v>6.2027838437654168</v>
      </c>
      <c r="G21" s="3">
        <f t="shared" si="1"/>
        <v>614.07560053277621</v>
      </c>
      <c r="H21" s="3">
        <f t="shared" si="2"/>
        <v>1.9061654248335298</v>
      </c>
      <c r="I21" s="3">
        <f t="shared" si="3"/>
        <v>27.458112077022093</v>
      </c>
    </row>
    <row r="22" spans="1:9" x14ac:dyDescent="0.2">
      <c r="A22">
        <v>13</v>
      </c>
      <c r="B22">
        <v>56</v>
      </c>
      <c r="C22" s="5">
        <f t="shared" si="4"/>
        <v>27.458112077022093</v>
      </c>
      <c r="D22" s="5">
        <f t="shared" si="5"/>
        <v>1.9061654248335298</v>
      </c>
      <c r="E22" s="5">
        <f t="shared" si="6"/>
        <v>52.238262599857983</v>
      </c>
      <c r="F22" s="3">
        <f t="shared" si="0"/>
        <v>-7.5234748002840348</v>
      </c>
      <c r="G22" s="3">
        <f t="shared" si="1"/>
        <v>-97.805172403692453</v>
      </c>
      <c r="H22" s="3">
        <f t="shared" si="2"/>
        <v>1.9300534546237933</v>
      </c>
      <c r="I22" s="3">
        <f t="shared" si="3"/>
        <v>27.560777689667848</v>
      </c>
    </row>
    <row r="23" spans="1:9" x14ac:dyDescent="0.2">
      <c r="A23">
        <v>21</v>
      </c>
      <c r="B23">
        <v>72</v>
      </c>
      <c r="C23" s="5">
        <f t="shared" si="4"/>
        <v>27.560777689667848</v>
      </c>
      <c r="D23" s="5">
        <f t="shared" si="5"/>
        <v>1.9300534546237933</v>
      </c>
      <c r="E23" s="5">
        <f t="shared" si="6"/>
        <v>68.091900236767501</v>
      </c>
      <c r="F23" s="3">
        <f t="shared" si="0"/>
        <v>-7.8161995264649988</v>
      </c>
      <c r="G23" s="3">
        <f t="shared" si="1"/>
        <v>-164.14019005576498</v>
      </c>
      <c r="H23" s="3">
        <f t="shared" si="2"/>
        <v>1.9701432132067822</v>
      </c>
      <c r="I23" s="3">
        <f t="shared" si="3"/>
        <v>27.667437834647092</v>
      </c>
    </row>
    <row r="24" spans="1:9" x14ac:dyDescent="0.2">
      <c r="A24">
        <v>28</v>
      </c>
      <c r="B24">
        <v>86</v>
      </c>
      <c r="C24" s="5">
        <f t="shared" si="4"/>
        <v>27.667437834647092</v>
      </c>
      <c r="D24" s="5">
        <f t="shared" si="5"/>
        <v>1.9701432132067822</v>
      </c>
      <c r="E24" s="5">
        <f t="shared" si="6"/>
        <v>82.831447804436991</v>
      </c>
      <c r="F24" s="3">
        <f t="shared" si="0"/>
        <v>-6.3371043911260188</v>
      </c>
      <c r="G24" s="3">
        <f t="shared" si="1"/>
        <v>-177.43892295152853</v>
      </c>
      <c r="H24" s="3">
        <f t="shared" si="2"/>
        <v>2.0134810671591605</v>
      </c>
      <c r="I24" s="3">
        <f t="shared" si="3"/>
        <v>27.753914193242789</v>
      </c>
    </row>
    <row r="25" spans="1:9" x14ac:dyDescent="0.2">
      <c r="A25">
        <v>20</v>
      </c>
      <c r="B25">
        <v>70</v>
      </c>
      <c r="C25" s="5">
        <f t="shared" si="4"/>
        <v>27.753914193242789</v>
      </c>
      <c r="D25" s="5">
        <f t="shared" si="5"/>
        <v>2.0134810671591605</v>
      </c>
      <c r="E25" s="5">
        <f t="shared" si="6"/>
        <v>68.023535536425996</v>
      </c>
      <c r="F25" s="3">
        <f t="shared" si="0"/>
        <v>-3.9529289271480081</v>
      </c>
      <c r="G25" s="3">
        <f t="shared" si="1"/>
        <v>-79.058578542960163</v>
      </c>
      <c r="H25" s="3">
        <f t="shared" si="2"/>
        <v>2.0327904107551729</v>
      </c>
      <c r="I25" s="3">
        <f t="shared" si="3"/>
        <v>27.807856006144913</v>
      </c>
    </row>
    <row r="26" spans="1:9" x14ac:dyDescent="0.2">
      <c r="A26">
        <v>8</v>
      </c>
      <c r="B26">
        <v>46</v>
      </c>
      <c r="C26" s="5">
        <f t="shared" si="4"/>
        <v>27.807856006144913</v>
      </c>
      <c r="D26" s="5">
        <f t="shared" si="5"/>
        <v>2.0327904107551729</v>
      </c>
      <c r="E26" s="5">
        <f t="shared" si="6"/>
        <v>44.070179292186296</v>
      </c>
      <c r="F26" s="3">
        <f t="shared" si="0"/>
        <v>-3.8596414156274079</v>
      </c>
      <c r="G26" s="3">
        <f t="shared" si="1"/>
        <v>-30.877131325019263</v>
      </c>
      <c r="H26" s="3">
        <f t="shared" si="2"/>
        <v>2.0403318711381218</v>
      </c>
      <c r="I26" s="3">
        <f t="shared" si="3"/>
        <v>27.8605248142485</v>
      </c>
    </row>
    <row r="27" spans="1:9" x14ac:dyDescent="0.2">
      <c r="A27">
        <v>64</v>
      </c>
      <c r="B27">
        <v>158</v>
      </c>
      <c r="C27" s="5">
        <f t="shared" si="4"/>
        <v>27.8605248142485</v>
      </c>
      <c r="D27" s="5">
        <f t="shared" si="5"/>
        <v>2.0403318711381218</v>
      </c>
      <c r="E27" s="5">
        <f t="shared" si="6"/>
        <v>158.44176456708828</v>
      </c>
      <c r="F27" s="3">
        <f t="shared" si="0"/>
        <v>0.88352913417656964</v>
      </c>
      <c r="G27" s="3">
        <f t="shared" si="1"/>
        <v>56.545864587300457</v>
      </c>
      <c r="H27" s="3">
        <f t="shared" si="2"/>
        <v>2.0265210545465173</v>
      </c>
      <c r="I27" s="3">
        <f t="shared" si="3"/>
        <v>27.848468143327345</v>
      </c>
    </row>
    <row r="28" spans="1:9" x14ac:dyDescent="0.2">
      <c r="A28">
        <v>99</v>
      </c>
      <c r="B28">
        <v>228</v>
      </c>
      <c r="C28" s="5">
        <f t="shared" si="4"/>
        <v>27.848468143327345</v>
      </c>
      <c r="D28" s="5">
        <f t="shared" si="5"/>
        <v>2.0265210545465173</v>
      </c>
      <c r="E28" s="5">
        <f t="shared" si="6"/>
        <v>228.47405254343258</v>
      </c>
      <c r="F28" s="3">
        <f t="shared" si="0"/>
        <v>0.94810508686515504</v>
      </c>
      <c r="G28" s="3">
        <f t="shared" si="1"/>
        <v>93.862403599650349</v>
      </c>
      <c r="H28" s="3">
        <f t="shared" si="2"/>
        <v>2.0035960104177719</v>
      </c>
      <c r="I28" s="3">
        <f t="shared" si="3"/>
        <v>27.835530266590933</v>
      </c>
    </row>
    <row r="29" spans="1:9" x14ac:dyDescent="0.2">
      <c r="A29">
        <v>70</v>
      </c>
      <c r="B29">
        <v>170</v>
      </c>
      <c r="C29" s="5">
        <f t="shared" si="4"/>
        <v>27.835530266590933</v>
      </c>
      <c r="D29" s="5">
        <f t="shared" si="5"/>
        <v>2.0035960104177719</v>
      </c>
      <c r="E29" s="5">
        <f t="shared" si="6"/>
        <v>168.08725099583495</v>
      </c>
      <c r="F29" s="3">
        <f t="shared" si="0"/>
        <v>-3.8254980083301007</v>
      </c>
      <c r="G29" s="3">
        <f t="shared" si="1"/>
        <v>-267.78486058310705</v>
      </c>
      <c r="H29" s="3">
        <f t="shared" si="2"/>
        <v>2.0690000434538542</v>
      </c>
      <c r="I29" s="3">
        <f t="shared" si="3"/>
        <v>27.887733152508154</v>
      </c>
    </row>
    <row r="30" spans="1:9" x14ac:dyDescent="0.2">
      <c r="A30">
        <v>27</v>
      </c>
      <c r="B30">
        <v>84</v>
      </c>
      <c r="C30" s="5">
        <f t="shared" si="4"/>
        <v>27.887733152508154</v>
      </c>
      <c r="D30" s="5">
        <f t="shared" si="5"/>
        <v>2.0690000434538542</v>
      </c>
      <c r="E30" s="5">
        <f t="shared" si="6"/>
        <v>83.75073432576221</v>
      </c>
      <c r="F30" s="3">
        <f t="shared" si="0"/>
        <v>-0.49853134847558067</v>
      </c>
      <c r="G30" s="3">
        <f t="shared" si="1"/>
        <v>-13.460346408840678</v>
      </c>
      <c r="H30" s="3">
        <f t="shared" si="2"/>
        <v>2.0722876114638002</v>
      </c>
      <c r="I30" s="3">
        <f t="shared" si="3"/>
        <v>27.894536129546427</v>
      </c>
    </row>
    <row r="31" spans="1:9" x14ac:dyDescent="0.2">
      <c r="A31">
        <v>17</v>
      </c>
      <c r="B31">
        <v>64</v>
      </c>
      <c r="C31" s="5">
        <f t="shared" si="4"/>
        <v>27.894536129546427</v>
      </c>
      <c r="D31" s="5">
        <f t="shared" si="5"/>
        <v>2.0722876114638002</v>
      </c>
      <c r="E31" s="5">
        <f t="shared" si="6"/>
        <v>63.123425524431028</v>
      </c>
      <c r="F31" s="3">
        <f t="shared" si="0"/>
        <v>-1.7531489511379448</v>
      </c>
      <c r="G31" s="3">
        <f t="shared" si="1"/>
        <v>-29.803532169345061</v>
      </c>
      <c r="H31" s="3">
        <f t="shared" si="2"/>
        <v>2.079566854951842</v>
      </c>
      <c r="I31" s="3">
        <f t="shared" si="3"/>
        <v>27.918459664336634</v>
      </c>
    </row>
    <row r="32" spans="1:9" x14ac:dyDescent="0.2">
      <c r="A32">
        <v>8</v>
      </c>
      <c r="B32">
        <v>46</v>
      </c>
      <c r="C32" s="5">
        <f t="shared" si="4"/>
        <v>27.918459664336634</v>
      </c>
      <c r="D32" s="5">
        <f t="shared" si="5"/>
        <v>2.079566854951842</v>
      </c>
      <c r="E32" s="5">
        <f t="shared" si="6"/>
        <v>44.55499450395137</v>
      </c>
      <c r="F32" s="3">
        <f t="shared" si="0"/>
        <v>-2.8900109920972596</v>
      </c>
      <c r="G32" s="3">
        <f t="shared" si="1"/>
        <v>-23.120087936778077</v>
      </c>
      <c r="H32" s="3">
        <f t="shared" si="2"/>
        <v>2.0852137275641378</v>
      </c>
      <c r="I32" s="3">
        <f t="shared" si="3"/>
        <v>27.957896860171388</v>
      </c>
    </row>
    <row r="33" spans="6:8" x14ac:dyDescent="0.2">
      <c r="F33" s="3">
        <f>SQRT(SUMSQ(F4:F32))/COUNT(F4:F32)</f>
        <v>1.1611397869922755</v>
      </c>
      <c r="G33" s="3">
        <f>SQRT(SUMSQ(G4:G32))/COUNT(G4:G32)</f>
        <v>62.772354897753353</v>
      </c>
      <c r="H33" s="3">
        <f>SUMPRODUCT(histgrad,F2:G2)</f>
        <v>3.1176536655983821E-2</v>
      </c>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nnealing.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7170" r:id="rId4" name="Button 2">
              <controlPr defaultSize="0" print="0" autoFill="0" autoPict="0" macro="[0]!annealing.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dam_ann"/>
  <dimension ref="A1:O34"/>
  <sheetViews>
    <sheetView zoomScale="120" zoomScaleNormal="130" workbookViewId="0">
      <pane xSplit="3" ySplit="3" topLeftCell="D20"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 min="14" max="14" width="8.33203125" customWidth="1"/>
  </cols>
  <sheetData>
    <row r="1" spans="1:15" x14ac:dyDescent="0.2">
      <c r="B1" t="s">
        <v>21</v>
      </c>
      <c r="C1" s="5">
        <v>29.974150425358729</v>
      </c>
      <c r="D1" s="5" t="s">
        <v>14</v>
      </c>
      <c r="I1" t="s">
        <v>24</v>
      </c>
      <c r="J1">
        <v>0.9</v>
      </c>
      <c r="K1">
        <f>1-J1</f>
        <v>9.9999999999999978E-2</v>
      </c>
      <c r="L1">
        <v>0.95</v>
      </c>
      <c r="M1">
        <f>1-L1</f>
        <v>5.0000000000000044E-2</v>
      </c>
    </row>
    <row r="2" spans="1:15" x14ac:dyDescent="0.2">
      <c r="B2" t="s">
        <v>22</v>
      </c>
      <c r="C2" s="5">
        <v>1.929914281062449</v>
      </c>
      <c r="D2">
        <v>1.5625E-2</v>
      </c>
      <c r="F2" s="9"/>
      <c r="G2" s="9"/>
    </row>
    <row r="3" spans="1:15" s="2" customFormat="1" x14ac:dyDescent="0.2">
      <c r="A3" s="2" t="s">
        <v>15</v>
      </c>
      <c r="B3" s="2" t="s">
        <v>16</v>
      </c>
      <c r="C3" s="6" t="s">
        <v>21</v>
      </c>
      <c r="D3" s="6" t="s">
        <v>22</v>
      </c>
      <c r="E3" s="6" t="s">
        <v>18</v>
      </c>
      <c r="F3" s="8" t="s">
        <v>6</v>
      </c>
      <c r="G3" s="8" t="s">
        <v>9</v>
      </c>
      <c r="H3" s="2" t="s">
        <v>13</v>
      </c>
      <c r="I3" s="2" t="s">
        <v>12</v>
      </c>
      <c r="J3">
        <f>J33</f>
        <v>-4.3281475733096162</v>
      </c>
      <c r="K3">
        <f>K33</f>
        <v>-280.55631496032572</v>
      </c>
      <c r="L3">
        <f>L33</f>
        <v>231.81314568509319</v>
      </c>
      <c r="M3">
        <f>M33</f>
        <v>1367726.2037893971</v>
      </c>
      <c r="N3" s="4">
        <v>388.10803344229129</v>
      </c>
      <c r="O3" s="4"/>
    </row>
    <row r="4" spans="1:15" x14ac:dyDescent="0.2">
      <c r="A4">
        <v>14</v>
      </c>
      <c r="B4">
        <v>58</v>
      </c>
      <c r="C4" s="3">
        <f>C1</f>
        <v>29.974150425358729</v>
      </c>
      <c r="D4" s="3">
        <f>C2</f>
        <v>1.929914281062449</v>
      </c>
      <c r="E4" s="3">
        <f>C4+D4*A4</f>
        <v>56.992950360233017</v>
      </c>
      <c r="F4" s="7">
        <f t="shared" ref="F4:F32" si="0">2*(D4*A4+C4-B4)</f>
        <v>-2.0140992795339656</v>
      </c>
      <c r="G4" s="7">
        <f t="shared" ref="G4:G32" si="1">F4*A4</f>
        <v>-28.197389913475519</v>
      </c>
      <c r="H4" s="3">
        <f>C4-J4*$D$2/SQRT(L4)</f>
        <v>29.978461921293906</v>
      </c>
      <c r="I4" s="3">
        <f>D4-K4*$D$2/SQRT(M4)</f>
        <v>1.9334140353174829</v>
      </c>
      <c r="J4">
        <f>J3*$J$1+$K$1*F4</f>
        <v>-4.096742743932051</v>
      </c>
      <c r="K4">
        <f>K3*$J$1+$K$1*G4</f>
        <v>-255.32042245564071</v>
      </c>
      <c r="L4">
        <f t="shared" ref="L4:M19" si="2">L3*$L$1+$M$1*F4^2</f>
        <v>220.42531819622948</v>
      </c>
      <c r="M4">
        <f t="shared" si="2"/>
        <v>1299379.6482398238</v>
      </c>
    </row>
    <row r="5" spans="1:15" x14ac:dyDescent="0.2">
      <c r="A5">
        <v>86</v>
      </c>
      <c r="B5">
        <v>202</v>
      </c>
      <c r="C5" s="3">
        <f>H4</f>
        <v>29.978461921293906</v>
      </c>
      <c r="D5" s="3">
        <f>I4</f>
        <v>1.9334140353174829</v>
      </c>
      <c r="E5" s="3">
        <f>C5+D5*A5</f>
        <v>196.25206895859742</v>
      </c>
      <c r="F5" s="7">
        <f t="shared" si="0"/>
        <v>-11.495862082805161</v>
      </c>
      <c r="G5" s="7">
        <f t="shared" si="1"/>
        <v>-988.64413912124382</v>
      </c>
      <c r="H5" s="3">
        <f>C5-J5*$D$2/SQRT(L5)</f>
        <v>29.982381708546232</v>
      </c>
      <c r="I5" s="3">
        <f t="shared" ref="H5:I32" si="3">D5-K5*$D$2/SQRT(M5)</f>
        <v>1.9379471466305058</v>
      </c>
      <c r="J5">
        <f>J4*$J$1+$K$1*Intro!F5</f>
        <v>-3.687068469538846</v>
      </c>
      <c r="K5">
        <f t="shared" ref="J5:K20" si="4">K4*$J$1+$K$1*G5</f>
        <v>-328.65279412220099</v>
      </c>
      <c r="L5">
        <f t="shared" si="2"/>
        <v>216.01179453776186</v>
      </c>
      <c r="M5">
        <f t="shared" si="2"/>
        <v>1283281.5275187718</v>
      </c>
    </row>
    <row r="6" spans="1:15" x14ac:dyDescent="0.2">
      <c r="A6">
        <v>28</v>
      </c>
      <c r="B6">
        <v>86</v>
      </c>
      <c r="C6" s="3">
        <f>H5</f>
        <v>29.982381708546232</v>
      </c>
      <c r="D6" s="3">
        <f>I5</f>
        <v>1.9379471466305058</v>
      </c>
      <c r="E6" s="3">
        <f>C6+D6*A6</f>
        <v>84.244901814200389</v>
      </c>
      <c r="F6" s="7">
        <f>2*(D6*A6+C6-B6)</f>
        <v>-3.5101963715992213</v>
      </c>
      <c r="G6" s="7">
        <f>F6*A6</f>
        <v>-98.285498404778195</v>
      </c>
      <c r="H6" s="3">
        <f>C6-J6*$D$2/SQRT(L6)</f>
        <v>29.986378039054792</v>
      </c>
      <c r="I6" s="3">
        <f t="shared" si="3"/>
        <v>1.9422711638668504</v>
      </c>
      <c r="J6">
        <f t="shared" si="4"/>
        <v>-3.6693812597448838</v>
      </c>
      <c r="K6">
        <f t="shared" si="4"/>
        <v>-305.6160645504587</v>
      </c>
      <c r="L6">
        <f t="shared" si="2"/>
        <v>205.82727873923318</v>
      </c>
      <c r="M6">
        <f t="shared" si="2"/>
        <v>1219600.4531026669</v>
      </c>
    </row>
    <row r="7" spans="1:15" x14ac:dyDescent="0.2">
      <c r="A7">
        <v>51</v>
      </c>
      <c r="B7">
        <v>132</v>
      </c>
      <c r="C7" s="3">
        <f t="shared" ref="C7:D32" si="5">H6</f>
        <v>29.986378039054792</v>
      </c>
      <c r="D7" s="3">
        <f t="shared" si="5"/>
        <v>1.9422711638668504</v>
      </c>
      <c r="E7" s="3">
        <f t="shared" ref="E7:E32" si="6">C7+D7*A7</f>
        <v>129.04220739626416</v>
      </c>
      <c r="F7" s="7">
        <f t="shared" si="0"/>
        <v>-5.915585207471679</v>
      </c>
      <c r="G7" s="7">
        <f t="shared" si="1"/>
        <v>-301.69484558105563</v>
      </c>
      <c r="H7" s="3">
        <f t="shared" si="3"/>
        <v>29.990709839481884</v>
      </c>
      <c r="I7" s="3">
        <f t="shared" si="3"/>
        <v>1.946693143751963</v>
      </c>
      <c r="J7">
        <f t="shared" si="4"/>
        <v>-3.8940016545175631</v>
      </c>
      <c r="K7">
        <f t="shared" si="4"/>
        <v>-305.22394265351841</v>
      </c>
      <c r="L7">
        <f t="shared" si="2"/>
        <v>197.2856222196144</v>
      </c>
      <c r="M7">
        <f t="shared" si="2"/>
        <v>1163171.4194400425</v>
      </c>
    </row>
    <row r="8" spans="1:15" x14ac:dyDescent="0.2">
      <c r="A8">
        <v>28</v>
      </c>
      <c r="B8">
        <v>86</v>
      </c>
      <c r="C8" s="3">
        <f t="shared" si="5"/>
        <v>29.990709839481884</v>
      </c>
      <c r="D8" s="3">
        <f t="shared" si="5"/>
        <v>1.946693143751963</v>
      </c>
      <c r="E8" s="3">
        <f t="shared" si="6"/>
        <v>84.498117864536852</v>
      </c>
      <c r="F8" s="7">
        <f t="shared" si="0"/>
        <v>-3.0037642709262968</v>
      </c>
      <c r="G8" s="7">
        <f t="shared" si="1"/>
        <v>-84.105399585936311</v>
      </c>
      <c r="H8" s="3">
        <f t="shared" si="3"/>
        <v>29.995047350516636</v>
      </c>
      <c r="I8" s="3">
        <f t="shared" si="3"/>
        <v>1.9509006549777443</v>
      </c>
      <c r="J8">
        <f t="shared" si="4"/>
        <v>-3.8049779161584367</v>
      </c>
      <c r="K8">
        <f t="shared" si="4"/>
        <v>-283.11208834676023</v>
      </c>
      <c r="L8">
        <f t="shared" si="2"/>
        <v>187.87247109839834</v>
      </c>
      <c r="M8">
        <f t="shared" si="2"/>
        <v>1105366.5343800159</v>
      </c>
    </row>
    <row r="9" spans="1:15" x14ac:dyDescent="0.2">
      <c r="A9">
        <v>29</v>
      </c>
      <c r="B9">
        <v>88</v>
      </c>
      <c r="C9" s="3">
        <f t="shared" si="5"/>
        <v>29.995047350516636</v>
      </c>
      <c r="D9" s="3">
        <f t="shared" si="5"/>
        <v>1.9509006549777443</v>
      </c>
      <c r="E9" s="3">
        <f t="shared" si="6"/>
        <v>86.571166344871216</v>
      </c>
      <c r="F9" s="7">
        <f t="shared" si="0"/>
        <v>-2.8576673102575683</v>
      </c>
      <c r="G9" s="7">
        <f t="shared" si="1"/>
        <v>-82.87235199746948</v>
      </c>
      <c r="H9" s="3">
        <f t="shared" si="3"/>
        <v>29.999381793018699</v>
      </c>
      <c r="I9" s="3">
        <f t="shared" si="3"/>
        <v>1.9549114946200907</v>
      </c>
      <c r="J9">
        <f t="shared" si="4"/>
        <v>-3.7102468555683501</v>
      </c>
      <c r="K9">
        <f t="shared" si="4"/>
        <v>-263.08811471183117</v>
      </c>
      <c r="L9">
        <f t="shared" si="2"/>
        <v>178.88716066628416</v>
      </c>
      <c r="M9">
        <f t="shared" si="2"/>
        <v>1050441.5989972947</v>
      </c>
    </row>
    <row r="10" spans="1:15" x14ac:dyDescent="0.2">
      <c r="A10">
        <v>72</v>
      </c>
      <c r="B10">
        <v>174</v>
      </c>
      <c r="C10" s="3">
        <f t="shared" si="5"/>
        <v>29.999381793018699</v>
      </c>
      <c r="D10" s="3">
        <f t="shared" si="5"/>
        <v>1.9549114946200907</v>
      </c>
      <c r="E10" s="3">
        <f t="shared" si="6"/>
        <v>170.75300940566524</v>
      </c>
      <c r="F10" s="7">
        <f t="shared" si="0"/>
        <v>-6.4939811886695225</v>
      </c>
      <c r="G10" s="7">
        <f t="shared" si="1"/>
        <v>-467.56664558420562</v>
      </c>
      <c r="H10" s="3">
        <f t="shared" si="3"/>
        <v>30.004133105835727</v>
      </c>
      <c r="I10" s="3">
        <f t="shared" si="3"/>
        <v>1.9593222684530969</v>
      </c>
      <c r="J10">
        <f t="shared" si="4"/>
        <v>-3.988620288878467</v>
      </c>
      <c r="K10">
        <f t="shared" si="4"/>
        <v>-283.5359677990686</v>
      </c>
      <c r="L10">
        <f t="shared" si="2"/>
        <v>172.05139221690962</v>
      </c>
      <c r="M10">
        <f t="shared" si="2"/>
        <v>1008850.4474505732</v>
      </c>
    </row>
    <row r="11" spans="1:15" x14ac:dyDescent="0.2">
      <c r="A11">
        <v>62</v>
      </c>
      <c r="B11">
        <v>154</v>
      </c>
      <c r="C11" s="3">
        <f t="shared" si="5"/>
        <v>30.004133105835727</v>
      </c>
      <c r="D11" s="3">
        <f t="shared" si="5"/>
        <v>1.9593222684530969</v>
      </c>
      <c r="E11" s="3">
        <f t="shared" si="6"/>
        <v>151.48211374992772</v>
      </c>
      <c r="F11" s="7">
        <f t="shared" si="0"/>
        <v>-5.0357725001445601</v>
      </c>
      <c r="G11" s="7">
        <f t="shared" si="1"/>
        <v>-312.21789500896273</v>
      </c>
      <c r="H11" s="3">
        <f t="shared" si="3"/>
        <v>30.009116536917595</v>
      </c>
      <c r="I11" s="3">
        <f t="shared" si="3"/>
        <v>1.9638818253847012</v>
      </c>
      <c r="J11">
        <f t="shared" si="4"/>
        <v>-4.0933355100050761</v>
      </c>
      <c r="K11">
        <f t="shared" si="4"/>
        <v>-286.40416052005799</v>
      </c>
      <c r="L11">
        <f t="shared" si="2"/>
        <v>164.71677283972474</v>
      </c>
      <c r="M11">
        <f t="shared" si="2"/>
        <v>963281.92577623588</v>
      </c>
    </row>
    <row r="12" spans="1:15" x14ac:dyDescent="0.2">
      <c r="A12">
        <v>84</v>
      </c>
      <c r="B12">
        <v>198</v>
      </c>
      <c r="C12" s="3">
        <f t="shared" si="5"/>
        <v>30.009116536917595</v>
      </c>
      <c r="D12" s="3">
        <f t="shared" si="5"/>
        <v>1.9638818253847012</v>
      </c>
      <c r="E12" s="3">
        <f t="shared" si="6"/>
        <v>194.97518986923248</v>
      </c>
      <c r="F12" s="7">
        <f t="shared" si="0"/>
        <v>-6.0496202615350398</v>
      </c>
      <c r="G12" s="7">
        <f t="shared" si="1"/>
        <v>-508.16810196894335</v>
      </c>
      <c r="H12" s="3">
        <f t="shared" si="3"/>
        <v>30.014442732539443</v>
      </c>
      <c r="I12" s="3">
        <f t="shared" si="3"/>
        <v>1.9688868667829427</v>
      </c>
      <c r="J12">
        <f t="shared" si="4"/>
        <v>-4.2889639851580723</v>
      </c>
      <c r="K12">
        <f t="shared" si="4"/>
        <v>-308.58055466494653</v>
      </c>
      <c r="L12">
        <f t="shared" si="2"/>
        <v>158.31082946317727</v>
      </c>
      <c r="M12">
        <f t="shared" si="2"/>
        <v>928029.57048035995</v>
      </c>
    </row>
    <row r="13" spans="1:15" x14ac:dyDescent="0.2">
      <c r="A13">
        <v>15</v>
      </c>
      <c r="B13">
        <v>60</v>
      </c>
      <c r="C13" s="3">
        <f t="shared" si="5"/>
        <v>30.014442732539443</v>
      </c>
      <c r="D13" s="3">
        <f t="shared" si="5"/>
        <v>1.9688868667829427</v>
      </c>
      <c r="E13" s="3">
        <f t="shared" si="6"/>
        <v>59.547745734283581</v>
      </c>
      <c r="F13" s="7">
        <f t="shared" si="0"/>
        <v>-0.90450853143283894</v>
      </c>
      <c r="G13" s="7">
        <f t="shared" si="1"/>
        <v>-13.567627971492584</v>
      </c>
      <c r="H13" s="3">
        <f t="shared" si="3"/>
        <v>30.019475396693799</v>
      </c>
      <c r="I13" s="3">
        <f t="shared" si="3"/>
        <v>1.9735309780347887</v>
      </c>
      <c r="J13">
        <f t="shared" si="4"/>
        <v>-3.9505184397855491</v>
      </c>
      <c r="K13">
        <f t="shared" si="4"/>
        <v>-279.07926199560114</v>
      </c>
      <c r="L13">
        <f t="shared" si="2"/>
        <v>150.43619477419014</v>
      </c>
      <c r="M13">
        <f t="shared" si="2"/>
        <v>881637.29598278052</v>
      </c>
    </row>
    <row r="14" spans="1:15" x14ac:dyDescent="0.2">
      <c r="A14">
        <v>42</v>
      </c>
      <c r="B14">
        <v>114</v>
      </c>
      <c r="C14" s="3">
        <f t="shared" si="5"/>
        <v>30.019475396693799</v>
      </c>
      <c r="D14" s="3">
        <f t="shared" si="5"/>
        <v>1.9735309780347887</v>
      </c>
      <c r="E14" s="3">
        <f t="shared" si="6"/>
        <v>112.90777647415493</v>
      </c>
      <c r="F14" s="7">
        <f t="shared" si="0"/>
        <v>-2.1844470516901424</v>
      </c>
      <c r="G14" s="7">
        <f t="shared" si="1"/>
        <v>-91.746776170985981</v>
      </c>
      <c r="H14" s="3">
        <f t="shared" si="3"/>
        <v>30.024403859971532</v>
      </c>
      <c r="I14" s="3">
        <f t="shared" si="3"/>
        <v>1.9779747840112289</v>
      </c>
      <c r="J14">
        <f t="shared" si="4"/>
        <v>-3.7739113009760086</v>
      </c>
      <c r="K14">
        <f t="shared" si="4"/>
        <v>-260.34601341313964</v>
      </c>
      <c r="L14">
        <f t="shared" si="2"/>
        <v>143.15297548156252</v>
      </c>
      <c r="M14">
        <f t="shared" si="2"/>
        <v>837976.3047305299</v>
      </c>
    </row>
    <row r="15" spans="1:15" x14ac:dyDescent="0.2">
      <c r="A15">
        <v>62</v>
      </c>
      <c r="B15">
        <v>154</v>
      </c>
      <c r="C15" s="3">
        <f t="shared" si="5"/>
        <v>30.024403859971532</v>
      </c>
      <c r="D15" s="3">
        <f>I14</f>
        <v>1.9779747840112289</v>
      </c>
      <c r="E15" s="3">
        <f t="shared" si="6"/>
        <v>152.65884046866773</v>
      </c>
      <c r="F15" s="7">
        <f t="shared" si="0"/>
        <v>-2.6823190626645328</v>
      </c>
      <c r="G15" s="7">
        <f t="shared" si="1"/>
        <v>-166.30378188520103</v>
      </c>
      <c r="H15" s="3">
        <f t="shared" si="3"/>
        <v>30.029307617442178</v>
      </c>
      <c r="I15" s="3">
        <f t="shared" si="3"/>
        <v>1.9823655316058828</v>
      </c>
      <c r="J15">
        <f t="shared" si="4"/>
        <v>-3.6647520771448607</v>
      </c>
      <c r="K15">
        <f t="shared" si="4"/>
        <v>-250.94179026034578</v>
      </c>
      <c r="L15">
        <f t="shared" si="2"/>
        <v>136.35506848518108</v>
      </c>
      <c r="M15">
        <f t="shared" si="2"/>
        <v>797460.3368874694</v>
      </c>
    </row>
    <row r="16" spans="1:15" x14ac:dyDescent="0.2">
      <c r="A16">
        <v>47</v>
      </c>
      <c r="B16">
        <v>124</v>
      </c>
      <c r="C16" s="3">
        <f t="shared" si="5"/>
        <v>30.029307617442178</v>
      </c>
      <c r="D16" s="3">
        <f t="shared" si="5"/>
        <v>1.9823655316058828</v>
      </c>
      <c r="E16" s="3">
        <f t="shared" si="6"/>
        <v>123.20048760291866</v>
      </c>
      <c r="F16" s="7">
        <f t="shared" si="0"/>
        <v>-1.5990247941626876</v>
      </c>
      <c r="G16" s="7">
        <f t="shared" si="1"/>
        <v>-75.154165325646318</v>
      </c>
      <c r="H16" s="3">
        <f t="shared" si="3"/>
        <v>30.034052832396853</v>
      </c>
      <c r="I16" s="3">
        <f t="shared" si="3"/>
        <v>1.9865539957020761</v>
      </c>
      <c r="J16">
        <f t="shared" si="4"/>
        <v>-3.4581793488466435</v>
      </c>
      <c r="K16">
        <f t="shared" si="4"/>
        <v>-233.36302776687586</v>
      </c>
      <c r="L16">
        <f t="shared" si="2"/>
        <v>129.66515907553938</v>
      </c>
      <c r="M16">
        <f t="shared" si="2"/>
        <v>757869.72747138562</v>
      </c>
    </row>
    <row r="17" spans="1:13" x14ac:dyDescent="0.2">
      <c r="A17">
        <v>35</v>
      </c>
      <c r="B17">
        <v>100</v>
      </c>
      <c r="C17" s="3">
        <f t="shared" si="5"/>
        <v>30.034052832396853</v>
      </c>
      <c r="D17" s="3">
        <f t="shared" si="5"/>
        <v>1.9865539957020761</v>
      </c>
      <c r="E17" s="3">
        <f t="shared" si="6"/>
        <v>99.563442681969519</v>
      </c>
      <c r="F17" s="7">
        <f t="shared" si="0"/>
        <v>-0.8731146360609614</v>
      </c>
      <c r="G17" s="7">
        <f t="shared" si="1"/>
        <v>-30.559012262133649</v>
      </c>
      <c r="H17" s="3">
        <f t="shared" si="3"/>
        <v>30.038556693335639</v>
      </c>
      <c r="I17" s="3">
        <f t="shared" si="3"/>
        <v>1.9904776876387842</v>
      </c>
      <c r="J17">
        <f t="shared" si="4"/>
        <v>-3.1996728775680756</v>
      </c>
      <c r="K17">
        <f t="shared" si="4"/>
        <v>-213.08262621640165</v>
      </c>
      <c r="L17">
        <f t="shared" si="2"/>
        <v>123.2200175801476</v>
      </c>
      <c r="M17">
        <f t="shared" si="2"/>
        <v>720022.93375933811</v>
      </c>
    </row>
    <row r="18" spans="1:13" x14ac:dyDescent="0.2">
      <c r="A18">
        <v>9</v>
      </c>
      <c r="B18">
        <v>48</v>
      </c>
      <c r="C18" s="3">
        <f t="shared" si="5"/>
        <v>30.038556693335639</v>
      </c>
      <c r="D18" s="3">
        <f t="shared" si="5"/>
        <v>1.9904776876387842</v>
      </c>
      <c r="E18" s="3">
        <f t="shared" si="6"/>
        <v>47.952855882084698</v>
      </c>
      <c r="F18" s="7">
        <f t="shared" si="0"/>
        <v>-9.4288235830603639E-2</v>
      </c>
      <c r="G18" s="7">
        <f t="shared" si="1"/>
        <v>-0.84859412247543275</v>
      </c>
      <c r="H18" s="3">
        <f t="shared" si="3"/>
        <v>30.042729079656546</v>
      </c>
      <c r="I18" s="3">
        <f t="shared" si="3"/>
        <v>1.9941023514222742</v>
      </c>
      <c r="J18">
        <f t="shared" si="4"/>
        <v>-2.8891344133943284</v>
      </c>
      <c r="K18">
        <f t="shared" si="4"/>
        <v>-191.85922300700904</v>
      </c>
      <c r="L18">
        <f t="shared" si="2"/>
        <v>117.05946121471101</v>
      </c>
      <c r="M18">
        <f t="shared" si="2"/>
        <v>684021.82307697041</v>
      </c>
    </row>
    <row r="19" spans="1:13" x14ac:dyDescent="0.2">
      <c r="A19">
        <v>38</v>
      </c>
      <c r="B19">
        <v>106</v>
      </c>
      <c r="C19" s="3">
        <f t="shared" si="5"/>
        <v>30.042729079656546</v>
      </c>
      <c r="D19" s="3">
        <f t="shared" si="5"/>
        <v>1.9941023514222742</v>
      </c>
      <c r="E19" s="3">
        <f t="shared" si="6"/>
        <v>105.81861843370297</v>
      </c>
      <c r="F19" s="7">
        <f t="shared" si="0"/>
        <v>-0.36276313259406834</v>
      </c>
      <c r="G19" s="7">
        <f t="shared" si="1"/>
        <v>-13.784999038574597</v>
      </c>
      <c r="H19" s="3">
        <f t="shared" si="3"/>
        <v>30.046635414286236</v>
      </c>
      <c r="I19" s="3">
        <f t="shared" si="3"/>
        <v>1.9974759902785404</v>
      </c>
      <c r="J19">
        <f t="shared" si="4"/>
        <v>-2.6364972853143023</v>
      </c>
      <c r="K19">
        <f t="shared" si="4"/>
        <v>-174.0518006101656</v>
      </c>
      <c r="L19">
        <f t="shared" si="2"/>
        <v>111.21306800849393</v>
      </c>
      <c r="M19">
        <f t="shared" si="2"/>
        <v>649830.23323304649</v>
      </c>
    </row>
    <row r="20" spans="1:13" x14ac:dyDescent="0.2">
      <c r="A20">
        <v>44</v>
      </c>
      <c r="B20">
        <v>118</v>
      </c>
      <c r="C20" s="3">
        <f t="shared" si="5"/>
        <v>30.046635414286236</v>
      </c>
      <c r="D20" s="3">
        <f t="shared" si="5"/>
        <v>1.9974759902785404</v>
      </c>
      <c r="E20" s="3">
        <f t="shared" si="6"/>
        <v>117.93557898654203</v>
      </c>
      <c r="F20" s="7">
        <f t="shared" si="0"/>
        <v>-0.12884202691594737</v>
      </c>
      <c r="G20" s="7">
        <f t="shared" si="1"/>
        <v>-5.6690491843016844</v>
      </c>
      <c r="H20" s="3">
        <f t="shared" si="3"/>
        <v>30.05026201897449</v>
      </c>
      <c r="I20" s="3">
        <f t="shared" si="3"/>
        <v>2.0006024123528117</v>
      </c>
      <c r="J20">
        <f t="shared" si="4"/>
        <v>-2.3857317594744667</v>
      </c>
      <c r="K20">
        <f t="shared" si="4"/>
        <v>-157.21352546757922</v>
      </c>
      <c r="L20">
        <f t="shared" ref="L20:M32" si="7">L19*$L$1+$M$1*F20^2</f>
        <v>105.65324462146422</v>
      </c>
      <c r="M20">
        <f t="shared" si="7"/>
        <v>617340.32847732678</v>
      </c>
    </row>
    <row r="21" spans="1:13" x14ac:dyDescent="0.2">
      <c r="A21">
        <v>99</v>
      </c>
      <c r="B21">
        <v>228</v>
      </c>
      <c r="C21" s="3">
        <f t="shared" si="5"/>
        <v>30.05026201897449</v>
      </c>
      <c r="D21" s="3">
        <f t="shared" si="5"/>
        <v>2.0006024123528117</v>
      </c>
      <c r="E21" s="3">
        <f t="shared" si="6"/>
        <v>228.10990084190283</v>
      </c>
      <c r="F21" s="7">
        <f t="shared" si="0"/>
        <v>0.21980168380565601</v>
      </c>
      <c r="G21" s="7">
        <f t="shared" si="1"/>
        <v>21.760366696759945</v>
      </c>
      <c r="H21" s="3">
        <f t="shared" si="3"/>
        <v>30.053576434648935</v>
      </c>
      <c r="I21" s="3">
        <f t="shared" si="3"/>
        <v>2.0034448343433371</v>
      </c>
      <c r="J21">
        <f t="shared" ref="J21:K32" si="8">J20*$J$1+$K$1*F21</f>
        <v>-2.1251784151464546</v>
      </c>
      <c r="K21">
        <f t="shared" si="8"/>
        <v>-139.31613625114531</v>
      </c>
      <c r="L21">
        <f t="shared" si="7"/>
        <v>100.3729980294012</v>
      </c>
      <c r="M21">
        <f t="shared" si="7"/>
        <v>586496.98773139925</v>
      </c>
    </row>
    <row r="22" spans="1:13" x14ac:dyDescent="0.2">
      <c r="A22">
        <v>13</v>
      </c>
      <c r="B22">
        <v>56</v>
      </c>
      <c r="C22" s="3">
        <f t="shared" si="5"/>
        <v>30.053576434648935</v>
      </c>
      <c r="D22" s="3">
        <f t="shared" si="5"/>
        <v>2.0034448343433371</v>
      </c>
      <c r="E22" s="3">
        <f t="shared" si="6"/>
        <v>56.098359281112316</v>
      </c>
      <c r="F22" s="7">
        <f t="shared" si="0"/>
        <v>0.19671856222463191</v>
      </c>
      <c r="G22" s="7">
        <f t="shared" si="1"/>
        <v>2.5573413089202148</v>
      </c>
      <c r="H22" s="3">
        <f t="shared" si="3"/>
        <v>30.056605393647004</v>
      </c>
      <c r="I22" s="3">
        <f t="shared" si="3"/>
        <v>2.0060641174546712</v>
      </c>
      <c r="J22">
        <f t="shared" si="8"/>
        <v>-1.892988717409346</v>
      </c>
      <c r="K22">
        <f t="shared" si="8"/>
        <v>-125.12878849513876</v>
      </c>
      <c r="L22">
        <f t="shared" si="7"/>
        <v>95.356283037567323</v>
      </c>
      <c r="M22">
        <f t="shared" si="7"/>
        <v>557172.46534455777</v>
      </c>
    </row>
    <row r="23" spans="1:13" x14ac:dyDescent="0.2">
      <c r="A23">
        <v>21</v>
      </c>
      <c r="B23">
        <v>72</v>
      </c>
      <c r="C23" s="3">
        <f t="shared" si="5"/>
        <v>30.056605393647004</v>
      </c>
      <c r="D23" s="3">
        <f t="shared" si="5"/>
        <v>2.0060641174546712</v>
      </c>
      <c r="E23" s="3">
        <f t="shared" si="6"/>
        <v>72.183951860195094</v>
      </c>
      <c r="F23" s="7">
        <f t="shared" si="0"/>
        <v>0.36790372039018848</v>
      </c>
      <c r="G23" s="7">
        <f t="shared" si="1"/>
        <v>7.7259781281939581</v>
      </c>
      <c r="H23" s="3">
        <f t="shared" si="3"/>
        <v>30.059341775828901</v>
      </c>
      <c r="I23" s="3">
        <f t="shared" si="3"/>
        <v>2.0084661129831658</v>
      </c>
      <c r="J23">
        <f t="shared" si="8"/>
        <v>-1.6668994736293927</v>
      </c>
      <c r="K23">
        <f t="shared" si="8"/>
        <v>-111.8433118328055</v>
      </c>
      <c r="L23">
        <f t="shared" si="7"/>
        <v>90.595236543062796</v>
      </c>
      <c r="M23">
        <f t="shared" si="7"/>
        <v>529316.82661423169</v>
      </c>
    </row>
    <row r="24" spans="1:13" x14ac:dyDescent="0.2">
      <c r="A24">
        <v>28</v>
      </c>
      <c r="B24">
        <v>86</v>
      </c>
      <c r="C24" s="3">
        <f t="shared" si="5"/>
        <v>30.059341775828901</v>
      </c>
      <c r="D24" s="3">
        <f t="shared" si="5"/>
        <v>2.0084661129831658</v>
      </c>
      <c r="E24" s="3">
        <f t="shared" si="6"/>
        <v>86.296392939357546</v>
      </c>
      <c r="F24" s="7">
        <f t="shared" si="0"/>
        <v>0.59278587871509103</v>
      </c>
      <c r="G24" s="7">
        <f t="shared" si="1"/>
        <v>16.598004604022549</v>
      </c>
      <c r="H24" s="3">
        <f t="shared" si="3"/>
        <v>30.061768410415077</v>
      </c>
      <c r="I24" s="3">
        <f t="shared" si="3"/>
        <v>2.0106474663437073</v>
      </c>
      <c r="J24">
        <f t="shared" si="8"/>
        <v>-1.4409309383949442</v>
      </c>
      <c r="K24">
        <f t="shared" si="8"/>
        <v>-98.999180189122697</v>
      </c>
      <c r="L24">
        <f t="shared" si="7"/>
        <v>86.083044470809867</v>
      </c>
      <c r="M24">
        <f t="shared" si="7"/>
        <v>502864.75997136184</v>
      </c>
    </row>
    <row r="25" spans="1:13" x14ac:dyDescent="0.2">
      <c r="A25">
        <v>20</v>
      </c>
      <c r="B25">
        <v>70</v>
      </c>
      <c r="C25" s="3">
        <f t="shared" si="5"/>
        <v>30.061768410415077</v>
      </c>
      <c r="D25" s="3">
        <f t="shared" si="5"/>
        <v>2.0106474663437073</v>
      </c>
      <c r="E25" s="3">
        <f t="shared" si="6"/>
        <v>70.274717737289222</v>
      </c>
      <c r="F25" s="7">
        <f t="shared" si="0"/>
        <v>0.54943547457844488</v>
      </c>
      <c r="G25" s="7">
        <f t="shared" si="1"/>
        <v>10.988709491568898</v>
      </c>
      <c r="H25" s="3">
        <f t="shared" si="3"/>
        <v>30.063913986756937</v>
      </c>
      <c r="I25" s="3">
        <f t="shared" si="3"/>
        <v>2.0126368313805005</v>
      </c>
      <c r="J25">
        <f t="shared" si="8"/>
        <v>-1.2418942970976052</v>
      </c>
      <c r="K25">
        <f t="shared" si="8"/>
        <v>-88.000391221053533</v>
      </c>
      <c r="L25">
        <f t="shared" si="7"/>
        <v>81.793986214305633</v>
      </c>
      <c r="M25">
        <f t="shared" si="7"/>
        <v>477727.55955960823</v>
      </c>
    </row>
    <row r="26" spans="1:13" x14ac:dyDescent="0.2">
      <c r="A26">
        <v>8</v>
      </c>
      <c r="B26">
        <v>46</v>
      </c>
      <c r="C26" s="3">
        <f t="shared" si="5"/>
        <v>30.063913986756937</v>
      </c>
      <c r="D26" s="3">
        <f t="shared" si="5"/>
        <v>2.0126368313805005</v>
      </c>
      <c r="E26" s="3">
        <f t="shared" si="6"/>
        <v>46.165008637800938</v>
      </c>
      <c r="F26" s="7">
        <f t="shared" si="0"/>
        <v>0.33001727560187533</v>
      </c>
      <c r="G26" s="7">
        <f t="shared" si="1"/>
        <v>2.6401382048150026</v>
      </c>
      <c r="H26" s="3">
        <f t="shared" si="3"/>
        <v>30.06583660569731</v>
      </c>
      <c r="I26" s="3">
        <f t="shared" si="3"/>
        <v>2.0144676481637536</v>
      </c>
      <c r="J26">
        <f t="shared" si="8"/>
        <v>-1.0847031398276572</v>
      </c>
      <c r="K26">
        <f t="shared" si="8"/>
        <v>-78.936338278466692</v>
      </c>
      <c r="L26">
        <f t="shared" si="7"/>
        <v>77.709732473700129</v>
      </c>
      <c r="M26">
        <f t="shared" si="7"/>
        <v>453841.53009811486</v>
      </c>
    </row>
    <row r="27" spans="1:13" x14ac:dyDescent="0.2">
      <c r="A27">
        <v>64</v>
      </c>
      <c r="B27">
        <v>158</v>
      </c>
      <c r="C27" s="3">
        <f t="shared" si="5"/>
        <v>30.06583660569731</v>
      </c>
      <c r="D27" s="3">
        <f t="shared" si="5"/>
        <v>2.0144676481637536</v>
      </c>
      <c r="E27" s="3">
        <f t="shared" si="6"/>
        <v>158.99176608817754</v>
      </c>
      <c r="F27" s="7">
        <f t="shared" si="0"/>
        <v>1.9835321763550837</v>
      </c>
      <c r="G27" s="7">
        <f t="shared" si="1"/>
        <v>126.94605928672536</v>
      </c>
      <c r="H27" s="3">
        <f t="shared" si="3"/>
        <v>30.067249322267003</v>
      </c>
      <c r="I27" s="3">
        <f t="shared" si="3"/>
        <v>2.0158548107634253</v>
      </c>
      <c r="J27">
        <f t="shared" si="8"/>
        <v>-0.77787960820938307</v>
      </c>
      <c r="K27">
        <f t="shared" si="8"/>
        <v>-58.348098521947492</v>
      </c>
      <c r="L27">
        <f t="shared" si="7"/>
        <v>74.020965844746911</v>
      </c>
      <c r="M27">
        <f t="shared" si="7"/>
        <v>431955.21869163052</v>
      </c>
    </row>
    <row r="28" spans="1:13" x14ac:dyDescent="0.2">
      <c r="A28">
        <v>99</v>
      </c>
      <c r="B28">
        <v>228</v>
      </c>
      <c r="C28" s="3">
        <f t="shared" si="5"/>
        <v>30.067249322267003</v>
      </c>
      <c r="D28" s="3">
        <f t="shared" si="5"/>
        <v>2.0158548107634253</v>
      </c>
      <c r="E28" s="3">
        <f t="shared" si="6"/>
        <v>229.63687558784611</v>
      </c>
      <c r="F28" s="7">
        <f t="shared" si="0"/>
        <v>3.2737511756922117</v>
      </c>
      <c r="G28" s="7">
        <f t="shared" si="1"/>
        <v>324.10136639352896</v>
      </c>
      <c r="H28" s="3">
        <f t="shared" si="3"/>
        <v>30.067941170773956</v>
      </c>
      <c r="I28" s="3">
        <f t="shared" si="3"/>
        <v>2.0163420490729802</v>
      </c>
      <c r="J28">
        <f t="shared" si="8"/>
        <v>-0.37271652981922365</v>
      </c>
      <c r="K28">
        <f t="shared" si="8"/>
        <v>-20.103152030399855</v>
      </c>
      <c r="L28">
        <f t="shared" si="7"/>
        <v>70.855789890526879</v>
      </c>
      <c r="M28">
        <f t="shared" si="7"/>
        <v>415609.54254195659</v>
      </c>
    </row>
    <row r="29" spans="1:13" x14ac:dyDescent="0.2">
      <c r="A29">
        <v>70</v>
      </c>
      <c r="B29">
        <v>170</v>
      </c>
      <c r="C29" s="3">
        <f t="shared" si="5"/>
        <v>30.067941170773956</v>
      </c>
      <c r="D29" s="3">
        <f t="shared" si="5"/>
        <v>2.0163420490729802</v>
      </c>
      <c r="E29" s="3">
        <f t="shared" si="6"/>
        <v>171.21188460588257</v>
      </c>
      <c r="F29" s="7">
        <f t="shared" si="0"/>
        <v>2.4237692117651477</v>
      </c>
      <c r="G29" s="7">
        <f t="shared" si="1"/>
        <v>169.66384482356034</v>
      </c>
      <c r="H29" s="3">
        <f t="shared" si="3"/>
        <v>30.068118028983715</v>
      </c>
      <c r="I29" s="3">
        <f t="shared" si="3"/>
        <v>2.0163700091364327</v>
      </c>
      <c r="J29">
        <f t="shared" si="8"/>
        <v>-9.3067955660786572E-2</v>
      </c>
      <c r="K29">
        <f t="shared" si="8"/>
        <v>-1.1264523450038411</v>
      </c>
      <c r="L29">
        <f t="shared" si="7"/>
        <v>67.606733255595572</v>
      </c>
      <c r="M29">
        <f t="shared" si="7"/>
        <v>396268.35642687441</v>
      </c>
    </row>
    <row r="30" spans="1:13" x14ac:dyDescent="0.2">
      <c r="A30">
        <v>27</v>
      </c>
      <c r="B30">
        <v>84</v>
      </c>
      <c r="C30" s="3">
        <f t="shared" si="5"/>
        <v>30.068118028983715</v>
      </c>
      <c r="D30" s="3">
        <f t="shared" si="5"/>
        <v>2.0163700091364327</v>
      </c>
      <c r="E30" s="3">
        <f t="shared" si="6"/>
        <v>84.510108275667392</v>
      </c>
      <c r="F30" s="7">
        <f t="shared" si="0"/>
        <v>1.0202165513347836</v>
      </c>
      <c r="G30" s="7">
        <f t="shared" si="1"/>
        <v>27.545846886039158</v>
      </c>
      <c r="H30" s="3">
        <f t="shared" si="3"/>
        <v>30.068082441284329</v>
      </c>
      <c r="I30" s="3">
        <f t="shared" si="3"/>
        <v>2.0163256804432925</v>
      </c>
      <c r="J30">
        <f t="shared" si="8"/>
        <v>1.8260495038770419E-2</v>
      </c>
      <c r="K30">
        <f t="shared" si="8"/>
        <v>1.7407775781004582</v>
      </c>
      <c r="L30">
        <f t="shared" si="7"/>
        <v>64.278438683396658</v>
      </c>
      <c r="M30">
        <f t="shared" si="7"/>
        <v>376492.87728956412</v>
      </c>
    </row>
    <row r="31" spans="1:13" x14ac:dyDescent="0.2">
      <c r="A31">
        <v>17</v>
      </c>
      <c r="B31">
        <v>64</v>
      </c>
      <c r="C31" s="3">
        <f t="shared" si="5"/>
        <v>30.068082441284329</v>
      </c>
      <c r="D31" s="3">
        <f t="shared" si="5"/>
        <v>2.0163256804432925</v>
      </c>
      <c r="E31" s="3">
        <f t="shared" si="6"/>
        <v>64.345619008820307</v>
      </c>
      <c r="F31" s="7">
        <f t="shared" si="0"/>
        <v>0.69123801764061454</v>
      </c>
      <c r="G31" s="7">
        <f t="shared" si="1"/>
        <v>11.751046299890447</v>
      </c>
      <c r="H31" s="3">
        <f t="shared" si="3"/>
        <v>30.067911399387445</v>
      </c>
      <c r="I31" s="3">
        <f t="shared" si="3"/>
        <v>2.0162540476104422</v>
      </c>
      <c r="J31">
        <f t="shared" si="8"/>
        <v>8.5558247298954809E-2</v>
      </c>
      <c r="K31">
        <f t="shared" si="8"/>
        <v>2.7418044502794565</v>
      </c>
      <c r="L31">
        <f t="shared" si="7"/>
        <v>61.088407249078408</v>
      </c>
      <c r="M31">
        <f t="shared" si="7"/>
        <v>357675.137779543</v>
      </c>
    </row>
    <row r="32" spans="1:13" x14ac:dyDescent="0.2">
      <c r="A32">
        <v>8</v>
      </c>
      <c r="B32">
        <v>46</v>
      </c>
      <c r="C32" s="3">
        <f t="shared" si="5"/>
        <v>30.067911399387445</v>
      </c>
      <c r="D32" s="3">
        <f t="shared" si="5"/>
        <v>2.0162540476104422</v>
      </c>
      <c r="E32" s="3">
        <f t="shared" si="6"/>
        <v>46.197943780270982</v>
      </c>
      <c r="F32" s="7">
        <f t="shared" si="0"/>
        <v>0.39588756054196494</v>
      </c>
      <c r="G32" s="7">
        <f t="shared" si="1"/>
        <v>3.1671004843357196</v>
      </c>
      <c r="H32" s="3">
        <f t="shared" si="3"/>
        <v>30.067672279776446</v>
      </c>
      <c r="I32" s="3">
        <f t="shared" si="3"/>
        <v>2.0161794139288562</v>
      </c>
      <c r="J32">
        <f t="shared" si="8"/>
        <v>0.11659117862325581</v>
      </c>
      <c r="K32">
        <f t="shared" si="8"/>
        <v>2.7843340536850829</v>
      </c>
      <c r="L32">
        <f t="shared" si="7"/>
        <v>58.041823234654075</v>
      </c>
      <c r="M32">
        <f t="shared" si="7"/>
        <v>339791.88241683971</v>
      </c>
    </row>
    <row r="33" spans="1:15" x14ac:dyDescent="0.2">
      <c r="A33" s="7"/>
      <c r="B33" s="7"/>
      <c r="F33" s="7">
        <f>SQRT(SUMSQ(F4:F32))/COUNT(F4:F32)</f>
        <v>0.63983141134448585</v>
      </c>
      <c r="G33" s="7">
        <f>SQRT(SUMSQ(G4:G32))/COUNT(G4:G32)</f>
        <v>47.053782411504244</v>
      </c>
      <c r="H33" s="3"/>
      <c r="J33">
        <v>-4.3281475733096162</v>
      </c>
      <c r="K33">
        <v>-280.55631496032572</v>
      </c>
      <c r="L33" s="7">
        <v>231.81314568509319</v>
      </c>
      <c r="M33" s="7">
        <v>1367726.2037893971</v>
      </c>
      <c r="N33" s="3">
        <f>SQRT(L33)+SQRT(M33)</f>
        <v>1184.7236812924136</v>
      </c>
      <c r="O33" s="10"/>
    </row>
    <row r="34" spans="1:15" x14ac:dyDescent="0.2">
      <c r="K34">
        <f>1/K3</f>
        <v>-3.5643467877078897E-3</v>
      </c>
      <c r="L34">
        <f>1/L3</f>
        <v>4.3138192057427622E-3</v>
      </c>
      <c r="N34">
        <f>avg_grad2/prev_grad2</f>
        <v>3.0525616045218325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dam_ann.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49154" r:id="rId4" name="Button 2">
              <controlPr defaultSize="0" print="0" autoFill="0" autoPict="0" macro="[0]!adam_ann.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104</vt:i4>
      </vt:variant>
    </vt:vector>
  </HeadingPairs>
  <TitlesOfParts>
    <vt:vector size="116" baseType="lpstr">
      <vt:lpstr>Intro</vt:lpstr>
      <vt:lpstr>data</vt:lpstr>
      <vt:lpstr>basic SGD</vt:lpstr>
      <vt:lpstr>basic SGD est</vt:lpstr>
      <vt:lpstr>basic SGD 2 neuron</vt:lpstr>
      <vt:lpstr>momentum</vt:lpstr>
      <vt:lpstr>adagrad</vt:lpstr>
      <vt:lpstr>rmsprop</vt:lpstr>
      <vt:lpstr>adam</vt:lpstr>
      <vt:lpstr>eve</vt:lpstr>
      <vt:lpstr>adagrad_ann</vt:lpstr>
      <vt:lpstr>adam_ann</vt:lpstr>
      <vt:lpstr>adam_ann!avg_grad2</vt:lpstr>
      <vt:lpstr>adagrad!const</vt:lpstr>
      <vt:lpstr>adagrad_ann!const</vt:lpstr>
      <vt:lpstr>adam!const</vt:lpstr>
      <vt:lpstr>adam_ann!const</vt:lpstr>
      <vt:lpstr>'basic SGD'!const</vt:lpstr>
      <vt:lpstr>'basic SGD 2 neuron'!const</vt:lpstr>
      <vt:lpstr>'basic SGD est'!const</vt:lpstr>
      <vt:lpstr>eve!const</vt:lpstr>
      <vt:lpstr>momentum!const</vt:lpstr>
      <vt:lpstr>rmsprop!const</vt:lpstr>
      <vt:lpstr>const2</vt:lpstr>
      <vt:lpstr>eve!dt_1</vt:lpstr>
      <vt:lpstr>eve!dtee</vt:lpstr>
      <vt:lpstr>eve!ft_1</vt:lpstr>
      <vt:lpstr>eve!ft_2</vt:lpstr>
      <vt:lpstr>adam_ann!gradrat</vt:lpstr>
      <vt:lpstr>adagrad!gradtarget</vt:lpstr>
      <vt:lpstr>adagrad_ann!gradtarget</vt:lpstr>
      <vt:lpstr>adam!gradtarget</vt:lpstr>
      <vt:lpstr>adam_ann!gradtarget</vt:lpstr>
      <vt:lpstr>'basic SGD'!gradtarget</vt:lpstr>
      <vt:lpstr>'basic SGD 2 neuron'!gradtarget</vt:lpstr>
      <vt:lpstr>'basic SGD est'!gradtarget</vt:lpstr>
      <vt:lpstr>eve!gradtarget</vt:lpstr>
      <vt:lpstr>rmsprop!gradtarget</vt:lpstr>
      <vt:lpstr>adagrad!histgrad</vt:lpstr>
      <vt:lpstr>adagrad_ann!histgrad</vt:lpstr>
      <vt:lpstr>adam!histgrad</vt:lpstr>
      <vt:lpstr>adam_ann!histgrad</vt:lpstr>
      <vt:lpstr>'basic SGD'!histgrad</vt:lpstr>
      <vt:lpstr>'basic SGD 2 neuron'!histgrad</vt:lpstr>
      <vt:lpstr>'basic SGD est'!histgrad</vt:lpstr>
      <vt:lpstr>eve!histgrad</vt:lpstr>
      <vt:lpstr>momentum!histgrad</vt:lpstr>
      <vt:lpstr>rmsprop!histgrad</vt:lpstr>
      <vt:lpstr>adagrad!lastconst</vt:lpstr>
      <vt:lpstr>adagrad_ann!lastconst</vt:lpstr>
      <vt:lpstr>adam!lastconst</vt:lpstr>
      <vt:lpstr>adam_ann!lastconst</vt:lpstr>
      <vt:lpstr>'basic SGD'!lastconst</vt:lpstr>
      <vt:lpstr>'basic SGD 2 neuron'!lastconst</vt:lpstr>
      <vt:lpstr>'basic SGD est'!lastconst</vt:lpstr>
      <vt:lpstr>eve!lastconst</vt:lpstr>
      <vt:lpstr>momentum!lastconst</vt:lpstr>
      <vt:lpstr>rmsprop!lastconst</vt:lpstr>
      <vt:lpstr>adagrad!lastslope</vt:lpstr>
      <vt:lpstr>adagrad_ann!lastslope</vt:lpstr>
      <vt:lpstr>adam!lastslope</vt:lpstr>
      <vt:lpstr>adam_ann!lastslope</vt:lpstr>
      <vt:lpstr>'basic SGD'!lastslope</vt:lpstr>
      <vt:lpstr>'basic SGD 2 neuron'!lastslope</vt:lpstr>
      <vt:lpstr>'basic SGD est'!lastslope</vt:lpstr>
      <vt:lpstr>eve!lastslope</vt:lpstr>
      <vt:lpstr>momentum!lastslope</vt:lpstr>
      <vt:lpstr>rmsprop!lastslope</vt:lpstr>
      <vt:lpstr>eve!loss</vt:lpstr>
      <vt:lpstr>adam!lr</vt:lpstr>
      <vt:lpstr>adam_ann!lr</vt:lpstr>
      <vt:lpstr>eve!lr</vt:lpstr>
      <vt:lpstr>momentum!lr</vt:lpstr>
      <vt:lpstr>adam!max_clipped</vt:lpstr>
      <vt:lpstr>adam_ann!max_clipped</vt:lpstr>
      <vt:lpstr>eve!max_clipped</vt:lpstr>
      <vt:lpstr>momentum!max_clipped</vt:lpstr>
      <vt:lpstr>rmsprop!max_clipped</vt:lpstr>
      <vt:lpstr>adam!momlast</vt:lpstr>
      <vt:lpstr>adam_ann!momlast</vt:lpstr>
      <vt:lpstr>eve!momlast</vt:lpstr>
      <vt:lpstr>momentum!momlast</vt:lpstr>
      <vt:lpstr>adam!momtarget</vt:lpstr>
      <vt:lpstr>adam_ann!momtarget</vt:lpstr>
      <vt:lpstr>eve!momtarget</vt:lpstr>
      <vt:lpstr>momentum!momtarget</vt:lpstr>
      <vt:lpstr>adam!ms_last</vt:lpstr>
      <vt:lpstr>adam_ann!ms_last</vt:lpstr>
      <vt:lpstr>eve!ms_last</vt:lpstr>
      <vt:lpstr>rmsprop!ms_last</vt:lpstr>
      <vt:lpstr>adam!pct_clipped</vt:lpstr>
      <vt:lpstr>adam_ann!pct_clipped</vt:lpstr>
      <vt:lpstr>eve!pct_clipped</vt:lpstr>
      <vt:lpstr>momentum!pct_clipped</vt:lpstr>
      <vt:lpstr>adam_ann!prev_grad2</vt:lpstr>
      <vt:lpstr>'basic SGD'!rmse</vt:lpstr>
      <vt:lpstr>'basic SGD 2 neuron'!rmse</vt:lpstr>
      <vt:lpstr>'basic SGD est'!rmse</vt:lpstr>
      <vt:lpstr>'basic SGD'!rmses</vt:lpstr>
      <vt:lpstr>'basic SGD 2 neuron'!rmses</vt:lpstr>
      <vt:lpstr>'basic SGD est'!rmses</vt:lpstr>
      <vt:lpstr>'basic SGD'!rmsestart</vt:lpstr>
      <vt:lpstr>'basic SGD 2 neuron'!rmsestart</vt:lpstr>
      <vt:lpstr>'basic SGD est'!rmsestart</vt:lpstr>
      <vt:lpstr>eve!rtee</vt:lpstr>
      <vt:lpstr>adagrad!slope</vt:lpstr>
      <vt:lpstr>adagrad_ann!slope</vt:lpstr>
      <vt:lpstr>adam!slope</vt:lpstr>
      <vt:lpstr>adam_ann!slope</vt:lpstr>
      <vt:lpstr>'basic SGD'!slope</vt:lpstr>
      <vt:lpstr>'basic SGD 2 neuron'!slope</vt:lpstr>
      <vt:lpstr>'basic SGD est'!slope</vt:lpstr>
      <vt:lpstr>eve!slope</vt:lpstr>
      <vt:lpstr>momentum!slope</vt:lpstr>
      <vt:lpstr>rmsprop!slope</vt:lpstr>
      <vt:lpstr>slope2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 Howard</dc:creator>
  <cp:lastModifiedBy>Liao Daniel</cp:lastModifiedBy>
  <dcterms:created xsi:type="dcterms:W3CDTF">2014-03-27T15:29:57Z</dcterms:created>
  <dcterms:modified xsi:type="dcterms:W3CDTF">2022-07-11T13:57:32Z</dcterms:modified>
</cp:coreProperties>
</file>