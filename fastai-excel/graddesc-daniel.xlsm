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comments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08"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13_ncr:1_{001D2A13-FC65-BA45-8206-B05DAF4C80F1}" xr6:coauthVersionLast="47" xr6:coauthVersionMax="47" xr10:uidLastSave="{00000000-0000-0000-0000-000000000000}"/>
  <bookViews>
    <workbookView xWindow="0" yWindow="460" windowWidth="25560" windowHeight="15540" firstSheet="3" activeTab="8" xr2:uid="{00000000-000D-0000-FFFF-FFFF00000000}"/>
  </bookViews>
  <sheets>
    <sheet name="Intro" sheetId="20" r:id="rId1"/>
    <sheet name="data" sheetId="1" r:id="rId2"/>
    <sheet name="basic SGD" sheetId="3" r:id="rId3"/>
    <sheet name="basic SGD est" sheetId="23" r:id="rId4"/>
    <sheet name="basic SGD 2 neuron collapse" sheetId="22" r:id="rId5"/>
    <sheet name="basic SGD 2 neuron ReLU" sheetId="27" r:id="rId6"/>
    <sheet name="momentum" sheetId="18" r:id="rId7"/>
    <sheet name="momentum ReLU 2 neuron" sheetId="29" r:id="rId8"/>
    <sheet name="Plot momentum" sheetId="30" r:id="rId9"/>
    <sheet name="adagrad" sheetId="2" r:id="rId10"/>
    <sheet name="rmsprop" sheetId="13" r:id="rId11"/>
    <sheet name="adam" sheetId="15" r:id="rId12"/>
    <sheet name="eve" sheetId="16" r:id="rId13"/>
    <sheet name="adagrad_ann" sheetId="6" r:id="rId14"/>
    <sheet name="adam_ann" sheetId="19" r:id="rId15"/>
    <sheet name="2 neuron compare by ReLU" sheetId="28" r:id="rId16"/>
  </sheets>
  <definedNames>
    <definedName name="avg_grad2" localSheetId="14">adam_ann!$N$33</definedName>
    <definedName name="const" localSheetId="9">adagrad!$C$1</definedName>
    <definedName name="const" localSheetId="13">adagrad_ann!$C$1</definedName>
    <definedName name="const" localSheetId="11">adam!$C$1</definedName>
    <definedName name="const" localSheetId="14">adam_ann!$C$1</definedName>
    <definedName name="const" localSheetId="2">'basic SGD'!$C$1</definedName>
    <definedName name="const" localSheetId="4">'basic SGD 2 neuron collapse'!$C$1</definedName>
    <definedName name="const" localSheetId="5">'basic SGD 2 neuron ReLU'!$C$1</definedName>
    <definedName name="const" localSheetId="3">'basic SGD est'!$C$1</definedName>
    <definedName name="const" localSheetId="12">eve!$C$1</definedName>
    <definedName name="const" localSheetId="6">momentum!$C$1</definedName>
    <definedName name="const" localSheetId="7">'momentum ReLU 2 neuron'!$C$1</definedName>
    <definedName name="const" localSheetId="10">rmsprop!$C$1</definedName>
    <definedName name="const_2">#REF!</definedName>
    <definedName name="const2" localSheetId="5">'basic SGD 2 neuron ReLU'!$D$1</definedName>
    <definedName name="const2" localSheetId="7">'momentum ReLU 2 neuron'!$D$1</definedName>
    <definedName name="const2">'basic SGD 2 neuron collapse'!$D$1</definedName>
    <definedName name="dt_1" localSheetId="12">eve!$F$37</definedName>
    <definedName name="dtee" localSheetId="12">eve!$F$38</definedName>
    <definedName name="ft_1" localSheetId="12">eve!$F$34</definedName>
    <definedName name="ft_2" localSheetId="12">eve!$F$35</definedName>
    <definedName name="gradrat" localSheetId="14">adam_ann!$N$34</definedName>
    <definedName name="gradtarget" localSheetId="9">adagrad!$F$1:$G$1</definedName>
    <definedName name="gradtarget" localSheetId="13">adagrad_ann!$F$1:$G$1</definedName>
    <definedName name="gradtarget" localSheetId="11">adam!$L$33:$M$33</definedName>
    <definedName name="gradtarget" localSheetId="14">adam_ann!$L$33:$M$33</definedName>
    <definedName name="gradtarget" localSheetId="2">'basic SGD'!$K$1:$L$1</definedName>
    <definedName name="gradtarget" localSheetId="4">'basic SGD 2 neuron collapse'!$X$1:$Y$1</definedName>
    <definedName name="gradtarget" localSheetId="5">'basic SGD 2 neuron ReLU'!$X$1:$Y$1</definedName>
    <definedName name="gradtarget" localSheetId="3">'basic SGD est'!$K$1:$L$1</definedName>
    <definedName name="gradtarget" localSheetId="12">eve!$M$33:$N$33</definedName>
    <definedName name="gradtarget" localSheetId="6">momentum!#REF!</definedName>
    <definedName name="gradtarget" localSheetId="7">'momentum ReLU 2 neuron'!$Z$1:$AA$1</definedName>
    <definedName name="gradtarget" localSheetId="10">rmsprop!$J$33:$K$33</definedName>
    <definedName name="histgrad" localSheetId="9">adagrad!$F$33:$G$33</definedName>
    <definedName name="histgrad" localSheetId="13">adagrad_ann!$F$33:$G$33</definedName>
    <definedName name="histgrad" localSheetId="11">adam!$F$33:$G$33</definedName>
    <definedName name="histgrad" localSheetId="14">adam_ann!$F$33:$G$33</definedName>
    <definedName name="histgrad" localSheetId="2">'basic SGD'!$K$33:$L$33</definedName>
    <definedName name="histgrad" localSheetId="4">'basic SGD 2 neuron collapse'!$X$36:$Y$36</definedName>
    <definedName name="histgrad" localSheetId="5">'basic SGD 2 neuron ReLU'!$X$36:$Y$36</definedName>
    <definedName name="histgrad" localSheetId="3">'basic SGD est'!$K$34:$L$34</definedName>
    <definedName name="histgrad" localSheetId="12">eve!$G$33:$H$33</definedName>
    <definedName name="histgrad" localSheetId="6">momentum!$F$34:$G$34</definedName>
    <definedName name="histgrad" localSheetId="7">'momentum ReLU 2 neuron'!$Z$36:$AA$36</definedName>
    <definedName name="histgrad" localSheetId="10">rmsprop!$F$33:$G$33</definedName>
    <definedName name="inter_b">#REF!</definedName>
    <definedName name="intercept_b">#REF!</definedName>
    <definedName name="intercept_d">#REF!</definedName>
    <definedName name="lastconst" localSheetId="9">adagrad!$H$32</definedName>
    <definedName name="lastconst" localSheetId="13">adagrad_ann!$C$32</definedName>
    <definedName name="lastconst" localSheetId="11">adam!$C$32</definedName>
    <definedName name="lastconst" localSheetId="14">adam_ann!$C$32</definedName>
    <definedName name="lastconst" localSheetId="2">'basic SGD'!$C$32</definedName>
    <definedName name="lastconst" localSheetId="4">'basic SGD 2 neuron collapse'!$C$35</definedName>
    <definedName name="lastconst" localSheetId="5">'basic SGD 2 neuron ReLU'!$C$35</definedName>
    <definedName name="lastconst" localSheetId="3">'basic SGD est'!$C$33</definedName>
    <definedName name="lastconst" localSheetId="12">eve!$C$32</definedName>
    <definedName name="lastconst" localSheetId="6">momentum!$C$33</definedName>
    <definedName name="lastconst" localSheetId="7">'momentum ReLU 2 neuron'!$C$35</definedName>
    <definedName name="lastconst" localSheetId="10">rmsprop!$C$32</definedName>
    <definedName name="lastconst2" localSheetId="5">'basic SGD 2 neuron ReLU'!$E$35</definedName>
    <definedName name="lastconst2" localSheetId="7">'momentum ReLU 2 neuron'!$E$35</definedName>
    <definedName name="lastconst2">'basic SGD 2 neuron collapse'!$E$35</definedName>
    <definedName name="lastslope" localSheetId="9">adagrad!$I$32</definedName>
    <definedName name="lastslope" localSheetId="13">adagrad_ann!$D$32</definedName>
    <definedName name="lastslope" localSheetId="11">adam!$D$32</definedName>
    <definedName name="lastslope" localSheetId="14">adam_ann!$D$32</definedName>
    <definedName name="lastslope" localSheetId="2">'basic SGD'!$D$32</definedName>
    <definedName name="lastslope" localSheetId="4">'basic SGD 2 neuron collapse'!$D$35</definedName>
    <definedName name="lastslope" localSheetId="5">'basic SGD 2 neuron ReLU'!$D$35</definedName>
    <definedName name="lastslope" localSheetId="3">'basic SGD est'!$D$33</definedName>
    <definedName name="lastslope" localSheetId="12">eve!$D$32</definedName>
    <definedName name="lastslope" localSheetId="6">momentum!$D$33</definedName>
    <definedName name="lastslope" localSheetId="7">'momentum ReLU 2 neuron'!$D$35</definedName>
    <definedName name="lastslope" localSheetId="10">rmsprop!$D$32</definedName>
    <definedName name="lastslope2" localSheetId="5">'basic SGD 2 neuron ReLU'!$F$35</definedName>
    <definedName name="lastslope2" localSheetId="7">'momentum ReLU 2 neuron'!$F$35</definedName>
    <definedName name="lastslope2">'basic SGD 2 neuron collapse'!$F$35</definedName>
    <definedName name="loss" localSheetId="12">eve!$F$33</definedName>
    <definedName name="lr" localSheetId="11">adam!$D$2</definedName>
    <definedName name="lr" localSheetId="14">adam_ann!$D$2</definedName>
    <definedName name="lr" localSheetId="12">eve!$D$2</definedName>
    <definedName name="lr" localSheetId="6">momentum!$D$3</definedName>
    <definedName name="max_clipped" localSheetId="11">adam!$O$34</definedName>
    <definedName name="max_clipped" localSheetId="14">adam_ann!$O$34</definedName>
    <definedName name="max_clipped" localSheetId="12">eve!$P$34</definedName>
    <definedName name="max_clipped" localSheetId="6">momentum!$M$35</definedName>
    <definedName name="max_clipped" localSheetId="10">rmsprop!$K$34</definedName>
    <definedName name="momlast" localSheetId="11">adam!$J$32:$K$32</definedName>
    <definedName name="momlast" localSheetId="14">adam_ann!$J$32:$K$32</definedName>
    <definedName name="momlast" localSheetId="12">eve!$K$32:$L$32</definedName>
    <definedName name="momlast" localSheetId="6">momentum!$J$33:$K$33</definedName>
    <definedName name="momlast">'momentum ReLU 2 neuron'!$W$35:$Z$35</definedName>
    <definedName name="momtarget" localSheetId="11">adam!$J$33:$K$33</definedName>
    <definedName name="momtarget" localSheetId="14">adam_ann!$J$33:$K$33</definedName>
    <definedName name="momtarget" localSheetId="12">eve!$K$33:$L$33</definedName>
    <definedName name="momtarget" localSheetId="6">momentum!$J$34:$K$34</definedName>
    <definedName name="momtarget">'momentum ReLU 2 neuron'!$W$36:$Z$36</definedName>
    <definedName name="ms_last" localSheetId="11">adam!$L$32:$M$32</definedName>
    <definedName name="ms_last" localSheetId="14">adam_ann!$L$32:$M$32</definedName>
    <definedName name="ms_last" localSheetId="12">eve!$M$32:$N$32</definedName>
    <definedName name="ms_last" localSheetId="6">momentum!#REF!</definedName>
    <definedName name="ms_last" localSheetId="10">rmsprop!$J$32:$K$32</definedName>
    <definedName name="pct_clipped" localSheetId="11">adam!$O$33</definedName>
    <definedName name="pct_clipped" localSheetId="14">adam_ann!$O$33</definedName>
    <definedName name="pct_clipped" localSheetId="12">eve!$P$33</definedName>
    <definedName name="pct_clipped" localSheetId="6">momentum!$M$34</definedName>
    <definedName name="pct_clipped" localSheetId="10">rmsprop!#REF!</definedName>
    <definedName name="prev_grad2" localSheetId="14">adam_ann!$N$3</definedName>
    <definedName name="rmse" localSheetId="2">'basic SGD'!$F$33</definedName>
    <definedName name="rmse" localSheetId="4">'basic SGD 2 neuron collapse'!$H$36</definedName>
    <definedName name="rmse" localSheetId="5">'basic SGD 2 neuron ReLU'!$H$36</definedName>
    <definedName name="rmse" localSheetId="3">'basic SGD est'!$F$34</definedName>
    <definedName name="rmse" localSheetId="7">'momentum ReLU 2 neuron'!$H$36</definedName>
    <definedName name="rmses" localSheetId="2">'basic SGD'!$C$38:$C$106</definedName>
    <definedName name="rmses" localSheetId="4">'basic SGD 2 neuron collapse'!$C$41:$C$109</definedName>
    <definedName name="rmses" localSheetId="5">'basic SGD 2 neuron ReLU'!$C$41:$C$109</definedName>
    <definedName name="rmses" localSheetId="3">'basic SGD est'!$C$39:$C$107</definedName>
    <definedName name="rmses" localSheetId="7">'momentum ReLU 2 neuron'!$C$41:$C$109</definedName>
    <definedName name="rmsestart" localSheetId="2">'basic SGD'!$C$36</definedName>
    <definedName name="rmsestart" localSheetId="4">'basic SGD 2 neuron collapse'!$C$39</definedName>
    <definedName name="rmsestart" localSheetId="5">'basic SGD 2 neuron ReLU'!$C$39</definedName>
    <definedName name="rmsestart" localSheetId="3">'basic SGD est'!$C$37</definedName>
    <definedName name="rmsestart" localSheetId="7">'momentum ReLU 2 neuron'!$C$39</definedName>
    <definedName name="rtee" localSheetId="12">eve!$F$36</definedName>
    <definedName name="slope" localSheetId="9">adagrad!$C$2</definedName>
    <definedName name="slope" localSheetId="13">adagrad_ann!$C$2</definedName>
    <definedName name="slope" localSheetId="11">adam!$C$2</definedName>
    <definedName name="slope" localSheetId="14">adam_ann!$C$2</definedName>
    <definedName name="slope" localSheetId="2">'basic SGD'!$C$2</definedName>
    <definedName name="slope" localSheetId="4">'basic SGD 2 neuron collapse'!$C$2</definedName>
    <definedName name="slope" localSheetId="5">'basic SGD 2 neuron ReLU'!$C$2</definedName>
    <definedName name="slope" localSheetId="3">'basic SGD est'!$C$2</definedName>
    <definedName name="slope" localSheetId="12">eve!$C$2</definedName>
    <definedName name="slope" localSheetId="6">momentum!$C$3</definedName>
    <definedName name="slope" localSheetId="7">'momentum ReLU 2 neuron'!$C$2</definedName>
    <definedName name="slope" localSheetId="10">rmsprop!$C$2</definedName>
    <definedName name="slope_c">#REF!</definedName>
    <definedName name="slope2" localSheetId="5">'basic SGD 2 neuron ReLU'!$D$2</definedName>
    <definedName name="slope2" localSheetId="7">'momentum ReLU 2 neuron'!$D$2</definedName>
    <definedName name="slope2">'basic SGD 2 neuron collapse'!$D$2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30" l="1"/>
  <c r="C5" i="30" s="1"/>
  <c r="C6" i="30" s="1"/>
  <c r="C7" i="30" s="1"/>
  <c r="C8" i="30" s="1"/>
  <c r="C9" i="30" s="1"/>
  <c r="C10" i="30" s="1"/>
  <c r="C11" i="30" s="1"/>
  <c r="C12" i="30" s="1"/>
  <c r="C13" i="30" s="1"/>
  <c r="C14" i="30" s="1"/>
  <c r="C15" i="30" s="1"/>
  <c r="C16" i="30" s="1"/>
  <c r="C17" i="30" s="1"/>
  <c r="C18" i="30" s="1"/>
  <c r="C19" i="30" s="1"/>
  <c r="C20" i="30" s="1"/>
  <c r="C21" i="30" s="1"/>
  <c r="C22" i="30" s="1"/>
  <c r="C23" i="30" s="1"/>
  <c r="C24" i="30" s="1"/>
  <c r="C25" i="30" s="1"/>
  <c r="C26" i="30" s="1"/>
  <c r="C27" i="30" s="1"/>
  <c r="C28" i="30" s="1"/>
  <c r="C29" i="30" s="1"/>
  <c r="C30" i="30" s="1"/>
  <c r="C31" i="30" s="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3" i="30"/>
  <c r="B4" i="30"/>
  <c r="B5" i="30"/>
  <c r="B6" i="30"/>
  <c r="B7" i="30"/>
  <c r="B8" i="30"/>
  <c r="B9" i="30"/>
  <c r="B10" i="30"/>
  <c r="B11" i="30"/>
  <c r="B12" i="30"/>
  <c r="B13" i="30"/>
  <c r="B14" i="30"/>
  <c r="B15" i="30"/>
  <c r="B16" i="30"/>
  <c r="B17" i="30"/>
  <c r="B18" i="30"/>
  <c r="B19" i="30"/>
  <c r="B20" i="30"/>
  <c r="B21" i="30"/>
  <c r="B22" i="30"/>
  <c r="B23" i="30"/>
  <c r="B24" i="30"/>
  <c r="B25" i="30"/>
  <c r="B26" i="30"/>
  <c r="B27" i="30"/>
  <c r="B28" i="30"/>
  <c r="B29" i="30"/>
  <c r="B30" i="30"/>
  <c r="B31" i="30"/>
  <c r="B32" i="30"/>
  <c r="B33" i="30"/>
  <c r="B34" i="30"/>
  <c r="B35" i="30"/>
  <c r="B36" i="30"/>
  <c r="B37" i="30"/>
  <c r="B38" i="30"/>
  <c r="B39" i="30"/>
  <c r="B40" i="30"/>
  <c r="B41" i="30"/>
  <c r="B42" i="30"/>
  <c r="B43" i="30"/>
  <c r="B44" i="30"/>
  <c r="B45" i="30"/>
  <c r="B46" i="30"/>
  <c r="B47" i="30"/>
  <c r="B48" i="30"/>
  <c r="B49" i="30"/>
  <c r="B50" i="30"/>
  <c r="B51" i="30"/>
  <c r="B52" i="30"/>
  <c r="B53" i="30"/>
  <c r="B54" i="30"/>
  <c r="B55" i="30"/>
  <c r="B56" i="30"/>
  <c r="B57" i="30"/>
  <c r="B58" i="30"/>
  <c r="B59" i="30"/>
  <c r="B60" i="30"/>
  <c r="B3" i="30"/>
  <c r="W6" i="29"/>
  <c r="X6" i="29"/>
  <c r="W3" i="29"/>
  <c r="Y6" i="29"/>
  <c r="Z6" i="29"/>
  <c r="F7" i="29"/>
  <c r="E7" i="29"/>
  <c r="D7" i="29"/>
  <c r="C7" i="29"/>
  <c r="O7" i="29" l="1"/>
  <c r="M7" i="29"/>
  <c r="I7" i="29"/>
  <c r="G7" i="29"/>
  <c r="K7" i="29"/>
  <c r="H7" i="29" l="1"/>
  <c r="P7" i="29" l="1"/>
  <c r="J7" i="29"/>
  <c r="L7" i="29"/>
  <c r="N7" i="29"/>
  <c r="W7" i="29" l="1"/>
  <c r="Q7" i="29" s="1"/>
  <c r="D8" i="29" s="1"/>
  <c r="X7" i="29"/>
  <c r="R7" i="29" s="1"/>
  <c r="C8" i="29" s="1"/>
  <c r="Z7" i="29"/>
  <c r="T7" i="29" s="1"/>
  <c r="E8" i="29" s="1"/>
  <c r="Y7" i="29"/>
  <c r="S7" i="29" s="1"/>
  <c r="U7" i="29" l="1"/>
  <c r="V7" i="29"/>
  <c r="F8" i="29"/>
  <c r="I8" i="29" l="1"/>
  <c r="M8" i="29"/>
  <c r="O8" i="29"/>
  <c r="G8" i="29"/>
  <c r="H8" i="29" s="1"/>
  <c r="K8" i="29"/>
  <c r="J8" i="29" l="1"/>
  <c r="X8" i="29" s="1"/>
  <c r="R8" i="29" s="1"/>
  <c r="C9" i="29" s="1"/>
  <c r="L8" i="29"/>
  <c r="N8" i="29"/>
  <c r="P8" i="29"/>
  <c r="W8" i="29" l="1"/>
  <c r="Z8" i="29"/>
  <c r="T8" i="29" s="1"/>
  <c r="E9" i="29" s="1"/>
  <c r="Y8" i="29"/>
  <c r="S8" i="29" s="1"/>
  <c r="V8" i="29" l="1"/>
  <c r="Q8" i="29"/>
  <c r="U8" i="29" s="1"/>
  <c r="F9" i="29"/>
  <c r="D9" i="29" l="1"/>
  <c r="M9" i="29" s="1"/>
  <c r="G9" i="29" l="1"/>
  <c r="H9" i="29" s="1"/>
  <c r="N9" i="29" s="1"/>
  <c r="I9" i="29"/>
  <c r="O9" i="29"/>
  <c r="K9" i="29"/>
  <c r="L9" i="29" l="1"/>
  <c r="W9" i="29" s="1"/>
  <c r="J9" i="29"/>
  <c r="X9" i="29" s="1"/>
  <c r="R9" i="29" s="1"/>
  <c r="C10" i="29" s="1"/>
  <c r="P9" i="29"/>
  <c r="Y9" i="29" s="1"/>
  <c r="S9" i="29" s="1"/>
  <c r="Z9" i="29"/>
  <c r="T9" i="29" s="1"/>
  <c r="E10" i="29" s="1"/>
  <c r="F10" i="29" l="1"/>
  <c r="V9" i="29"/>
  <c r="Q9" i="29"/>
  <c r="D10" i="29" l="1"/>
  <c r="M10" i="29" s="1"/>
  <c r="U9" i="29"/>
  <c r="O10" i="29" l="1"/>
  <c r="I10" i="29"/>
  <c r="K10" i="29"/>
  <c r="G10" i="29"/>
  <c r="H10" i="29" s="1"/>
  <c r="N10" i="29" s="1"/>
  <c r="L10" i="29" l="1"/>
  <c r="W10" i="29" s="1"/>
  <c r="J10" i="29"/>
  <c r="X10" i="29" s="1"/>
  <c r="R10" i="29" s="1"/>
  <c r="C11" i="29" s="1"/>
  <c r="P10" i="29"/>
  <c r="Y10" i="29" s="1"/>
  <c r="S10" i="29" s="1"/>
  <c r="Z10" i="29"/>
  <c r="T10" i="29" s="1"/>
  <c r="F11" i="29" l="1"/>
  <c r="V10" i="29"/>
  <c r="Q10" i="29"/>
  <c r="E11" i="29"/>
  <c r="D11" i="29" l="1"/>
  <c r="O11" i="29" s="1"/>
  <c r="U10" i="29"/>
  <c r="I11" i="29" l="1"/>
  <c r="M11" i="29"/>
  <c r="K11" i="29"/>
  <c r="G11" i="29"/>
  <c r="H11" i="29" s="1"/>
  <c r="P11" i="29" s="1"/>
  <c r="Y11" i="29" s="1"/>
  <c r="S11" i="29" s="1"/>
  <c r="N11" i="29" l="1"/>
  <c r="Z11" i="29" s="1"/>
  <c r="T11" i="29" s="1"/>
  <c r="E12" i="29" s="1"/>
  <c r="L11" i="29"/>
  <c r="W11" i="29" s="1"/>
  <c r="Q11" i="29" s="1"/>
  <c r="U11" i="29" s="1"/>
  <c r="F12" i="29"/>
  <c r="J11" i="29"/>
  <c r="X11" i="29" s="1"/>
  <c r="R11" i="29" s="1"/>
  <c r="C12" i="29" s="1"/>
  <c r="V11" i="29" l="1"/>
  <c r="D12" i="29"/>
  <c r="I12" i="29" l="1"/>
  <c r="M12" i="29"/>
  <c r="O12" i="29"/>
  <c r="G12" i="29"/>
  <c r="H12" i="29" s="1"/>
  <c r="K12" i="29"/>
  <c r="N12" i="29" l="1"/>
  <c r="Z12" i="29" s="1"/>
  <c r="T12" i="29" s="1"/>
  <c r="P12" i="29"/>
  <c r="Y12" i="29" s="1"/>
  <c r="S12" i="29" s="1"/>
  <c r="L12" i="29"/>
  <c r="J12" i="29"/>
  <c r="E13" i="29" l="1"/>
  <c r="F13" i="29"/>
  <c r="X12" i="29"/>
  <c r="R12" i="29" s="1"/>
  <c r="C13" i="29" s="1"/>
  <c r="W12" i="29"/>
  <c r="V12" i="29" l="1"/>
  <c r="Q12" i="29"/>
  <c r="D13" i="29" l="1"/>
  <c r="K13" i="29" s="1"/>
  <c r="U12" i="29"/>
  <c r="I13" i="29" l="1"/>
  <c r="G13" i="29"/>
  <c r="H13" i="29" s="1"/>
  <c r="M13" i="29"/>
  <c r="O13" i="29"/>
  <c r="J13" i="29" l="1"/>
  <c r="X13" i="29" s="1"/>
  <c r="R13" i="29" s="1"/>
  <c r="C14" i="29" s="1"/>
  <c r="N13" i="29"/>
  <c r="Z13" i="29" s="1"/>
  <c r="T13" i="29" s="1"/>
  <c r="E14" i="29" s="1"/>
  <c r="P13" i="29"/>
  <c r="Y13" i="29" s="1"/>
  <c r="S13" i="29" s="1"/>
  <c r="L13" i="29"/>
  <c r="W13" i="29" s="1"/>
  <c r="Q13" i="29" s="1"/>
  <c r="V13" i="29" l="1"/>
  <c r="F14" i="29"/>
  <c r="D14" i="29"/>
  <c r="U13" i="29"/>
  <c r="G14" i="29" l="1"/>
  <c r="H14" i="29" s="1"/>
  <c r="I14" i="29"/>
  <c r="M14" i="29"/>
  <c r="K14" i="29"/>
  <c r="O14" i="29"/>
  <c r="P14" i="29" l="1"/>
  <c r="Y14" i="29" s="1"/>
  <c r="S14" i="29" s="1"/>
  <c r="L14" i="29"/>
  <c r="W14" i="29" s="1"/>
  <c r="Q14" i="29" s="1"/>
  <c r="D15" i="29" s="1"/>
  <c r="J14" i="29"/>
  <c r="X14" i="29" s="1"/>
  <c r="R14" i="29" s="1"/>
  <c r="C15" i="29" s="1"/>
  <c r="N14" i="29"/>
  <c r="Z14" i="29" s="1"/>
  <c r="T14" i="29" s="1"/>
  <c r="E15" i="29" s="1"/>
  <c r="V14" i="29" l="1"/>
  <c r="U14" i="29"/>
  <c r="F15" i="29"/>
  <c r="M15" i="29" s="1"/>
  <c r="K15" i="29" l="1"/>
  <c r="I15" i="29"/>
  <c r="G15" i="29"/>
  <c r="H15" i="29" s="1"/>
  <c r="O15" i="29"/>
  <c r="P15" i="29" l="1"/>
  <c r="Y15" i="29" s="1"/>
  <c r="S15" i="29" s="1"/>
  <c r="F16" i="29" s="1"/>
  <c r="L15" i="29"/>
  <c r="W15" i="29" s="1"/>
  <c r="Q15" i="29" s="1"/>
  <c r="N15" i="29"/>
  <c r="Z15" i="29" s="1"/>
  <c r="T15" i="29" s="1"/>
  <c r="J15" i="29"/>
  <c r="X15" i="29" s="1"/>
  <c r="R15" i="29" s="1"/>
  <c r="C16" i="29" s="1"/>
  <c r="V15" i="29" l="1"/>
  <c r="D16" i="29"/>
  <c r="U15" i="29"/>
  <c r="E16" i="29"/>
  <c r="I16" i="29" l="1"/>
  <c r="O16" i="29"/>
  <c r="M16" i="29"/>
  <c r="K16" i="29"/>
  <c r="G16" i="29"/>
  <c r="H16" i="29" s="1"/>
  <c r="J16" i="29" l="1"/>
  <c r="X16" i="29" s="1"/>
  <c r="R16" i="29" s="1"/>
  <c r="C17" i="29" s="1"/>
  <c r="L16" i="29"/>
  <c r="W16" i="29" s="1"/>
  <c r="N16" i="29"/>
  <c r="Z16" i="29" s="1"/>
  <c r="T16" i="29" s="1"/>
  <c r="E17" i="29" s="1"/>
  <c r="P16" i="29"/>
  <c r="Y16" i="29" s="1"/>
  <c r="S16" i="29" s="1"/>
  <c r="F17" i="29" l="1"/>
  <c r="V16" i="29"/>
  <c r="Q16" i="29"/>
  <c r="D17" i="29" l="1"/>
  <c r="O17" i="29" s="1"/>
  <c r="U16" i="29"/>
  <c r="K17" i="29" l="1"/>
  <c r="M17" i="29"/>
  <c r="I17" i="29"/>
  <c r="G17" i="29"/>
  <c r="H17" i="29" s="1"/>
  <c r="P17" i="29" s="1"/>
  <c r="Y17" i="29" s="1"/>
  <c r="S17" i="29" s="1"/>
  <c r="J17" i="29" l="1"/>
  <c r="X17" i="29" s="1"/>
  <c r="R17" i="29" s="1"/>
  <c r="N17" i="29"/>
  <c r="Z17" i="29" s="1"/>
  <c r="T17" i="29" s="1"/>
  <c r="E18" i="29" s="1"/>
  <c r="L17" i="29"/>
  <c r="W17" i="29" s="1"/>
  <c r="F18" i="29"/>
  <c r="V17" i="29" l="1"/>
  <c r="Q17" i="29"/>
  <c r="C18" i="29"/>
  <c r="D18" i="29" l="1"/>
  <c r="M18" i="29" s="1"/>
  <c r="U17" i="29"/>
  <c r="I18" i="29" l="1"/>
  <c r="O18" i="29"/>
  <c r="K18" i="29"/>
  <c r="G18" i="29"/>
  <c r="H18" i="29" s="1"/>
  <c r="L18" i="29" l="1"/>
  <c r="W18" i="29" s="1"/>
  <c r="Q18" i="29" s="1"/>
  <c r="P18" i="29"/>
  <c r="Y18" i="29" s="1"/>
  <c r="S18" i="29" s="1"/>
  <c r="J18" i="29"/>
  <c r="X18" i="29" s="1"/>
  <c r="R18" i="29" s="1"/>
  <c r="C19" i="29" s="1"/>
  <c r="N18" i="29"/>
  <c r="Z18" i="29" s="1"/>
  <c r="T18" i="29" s="1"/>
  <c r="E19" i="29" s="1"/>
  <c r="V18" i="29" l="1"/>
  <c r="D19" i="29"/>
  <c r="U18" i="29"/>
  <c r="F19" i="29"/>
  <c r="M19" i="29" l="1"/>
  <c r="O19" i="29"/>
  <c r="I19" i="29"/>
  <c r="K19" i="29"/>
  <c r="G19" i="29"/>
  <c r="H19" i="29" s="1"/>
  <c r="J19" i="29" l="1"/>
  <c r="L19" i="29"/>
  <c r="N19" i="29"/>
  <c r="P19" i="29"/>
  <c r="X19" i="29" l="1"/>
  <c r="R19" i="29" s="1"/>
  <c r="C20" i="29" s="1"/>
  <c r="W19" i="29"/>
  <c r="Y19" i="29"/>
  <c r="S19" i="29" s="1"/>
  <c r="Z19" i="29"/>
  <c r="T19" i="29" s="1"/>
  <c r="E20" i="29" s="1"/>
  <c r="V19" i="29" l="1"/>
  <c r="Q19" i="29"/>
  <c r="F20" i="29"/>
  <c r="D20" i="29" l="1"/>
  <c r="I20" i="29" s="1"/>
  <c r="U19" i="29"/>
  <c r="G20" i="29" l="1"/>
  <c r="H20" i="29" s="1"/>
  <c r="J20" i="29" s="1"/>
  <c r="X20" i="29" s="1"/>
  <c r="R20" i="29" s="1"/>
  <c r="C21" i="29" s="1"/>
  <c r="M20" i="29"/>
  <c r="O20" i="29"/>
  <c r="K20" i="29"/>
  <c r="P20" i="29" l="1"/>
  <c r="Y20" i="29" s="1"/>
  <c r="S20" i="29" s="1"/>
  <c r="N20" i="29"/>
  <c r="Z20" i="29" s="1"/>
  <c r="T20" i="29" s="1"/>
  <c r="E21" i="29" s="1"/>
  <c r="L20" i="29"/>
  <c r="W20" i="29" s="1"/>
  <c r="Q20" i="29" s="1"/>
  <c r="V20" i="29" l="1"/>
  <c r="D21" i="29"/>
  <c r="U20" i="29"/>
  <c r="F21" i="29"/>
  <c r="G21" i="29" l="1"/>
  <c r="H21" i="29" s="1"/>
  <c r="O21" i="29"/>
  <c r="M21" i="29"/>
  <c r="K21" i="29"/>
  <c r="I21" i="29"/>
  <c r="P21" i="29" l="1"/>
  <c r="Y21" i="29" s="1"/>
  <c r="S21" i="29" s="1"/>
  <c r="L21" i="29"/>
  <c r="J21" i="29"/>
  <c r="N21" i="29"/>
  <c r="F22" i="29" l="1"/>
  <c r="X21" i="29"/>
  <c r="R21" i="29" s="1"/>
  <c r="C22" i="29" s="1"/>
  <c r="Z21" i="29"/>
  <c r="T21" i="29" s="1"/>
  <c r="E22" i="29" s="1"/>
  <c r="W21" i="29"/>
  <c r="Q21" i="29" s="1"/>
  <c r="U21" i="29" s="1"/>
  <c r="V21" i="29" l="1"/>
  <c r="D22" i="29"/>
  <c r="K22" i="29" l="1"/>
  <c r="G22" i="29"/>
  <c r="H22" i="29" s="1"/>
  <c r="O22" i="29"/>
  <c r="M22" i="29"/>
  <c r="I22" i="29"/>
  <c r="L22" i="29" l="1"/>
  <c r="W22" i="29" s="1"/>
  <c r="Q22" i="29" s="1"/>
  <c r="J22" i="29"/>
  <c r="X22" i="29" s="1"/>
  <c r="R22" i="29" s="1"/>
  <c r="N22" i="29"/>
  <c r="Z22" i="29" s="1"/>
  <c r="T22" i="29" s="1"/>
  <c r="P22" i="29"/>
  <c r="E23" i="29" l="1"/>
  <c r="C23" i="29"/>
  <c r="Y22" i="29"/>
  <c r="S22" i="29" s="1"/>
  <c r="D23" i="29"/>
  <c r="F23" i="29" l="1"/>
  <c r="G23" i="29" s="1"/>
  <c r="H23" i="29" s="1"/>
  <c r="V22" i="29"/>
  <c r="U22" i="29"/>
  <c r="M23" i="29" l="1"/>
  <c r="N23" i="29" s="1"/>
  <c r="O23" i="29"/>
  <c r="P23" i="29" s="1"/>
  <c r="K23" i="29"/>
  <c r="L23" i="29" s="1"/>
  <c r="I23" i="29"/>
  <c r="J23" i="29" s="1"/>
  <c r="X23" i="29" l="1"/>
  <c r="R23" i="29" s="1"/>
  <c r="C24" i="29" s="1"/>
  <c r="Y23" i="29"/>
  <c r="S23" i="29" s="1"/>
  <c r="W23" i="29"/>
  <c r="Z23" i="29"/>
  <c r="T23" i="29" s="1"/>
  <c r="F24" i="29" l="1"/>
  <c r="V23" i="29"/>
  <c r="Q23" i="29"/>
  <c r="E24" i="29"/>
  <c r="D24" i="29" l="1"/>
  <c r="G24" i="29" s="1"/>
  <c r="H24" i="29" s="1"/>
  <c r="U23" i="29"/>
  <c r="K24" i="29" l="1"/>
  <c r="L24" i="29" s="1"/>
  <c r="O24" i="29"/>
  <c r="P24" i="29" s="1"/>
  <c r="I24" i="29"/>
  <c r="J24" i="29" s="1"/>
  <c r="M24" i="29"/>
  <c r="N24" i="29" s="1"/>
  <c r="Y24" i="29" l="1"/>
  <c r="S24" i="29" s="1"/>
  <c r="X24" i="29"/>
  <c r="R24" i="29" s="1"/>
  <c r="C25" i="29" s="1"/>
  <c r="Z24" i="29"/>
  <c r="T24" i="29" s="1"/>
  <c r="E25" i="29" s="1"/>
  <c r="W24" i="29"/>
  <c r="F25" i="29" l="1"/>
  <c r="V24" i="29"/>
  <c r="Q24" i="29"/>
  <c r="U24" i="29" s="1"/>
  <c r="D25" i="29" l="1"/>
  <c r="G25" i="29" s="1"/>
  <c r="H25" i="29" s="1"/>
  <c r="I25" i="29" l="1"/>
  <c r="J25" i="29" s="1"/>
  <c r="M25" i="29"/>
  <c r="N25" i="29" s="1"/>
  <c r="O25" i="29"/>
  <c r="P25" i="29" s="1"/>
  <c r="K25" i="29"/>
  <c r="L25" i="29" s="1"/>
  <c r="Z25" i="29" l="1"/>
  <c r="T25" i="29" s="1"/>
  <c r="E26" i="29" s="1"/>
  <c r="W25" i="29"/>
  <c r="X25" i="29"/>
  <c r="R25" i="29" s="1"/>
  <c r="C26" i="29" s="1"/>
  <c r="Y25" i="29"/>
  <c r="S25" i="29" s="1"/>
  <c r="F26" i="29" l="1"/>
  <c r="V25" i="29"/>
  <c r="Q25" i="29"/>
  <c r="D26" i="29" l="1"/>
  <c r="O26" i="29" s="1"/>
  <c r="U25" i="29"/>
  <c r="I26" i="29" l="1"/>
  <c r="G26" i="29"/>
  <c r="H26" i="29" s="1"/>
  <c r="M26" i="29"/>
  <c r="K26" i="29"/>
  <c r="J26" i="29" l="1"/>
  <c r="X26" i="29" s="1"/>
  <c r="R26" i="29" s="1"/>
  <c r="C27" i="29" s="1"/>
  <c r="L26" i="29"/>
  <c r="W26" i="29" s="1"/>
  <c r="Q26" i="29" s="1"/>
  <c r="N26" i="29"/>
  <c r="Z26" i="29" s="1"/>
  <c r="T26" i="29" s="1"/>
  <c r="E27" i="29" s="1"/>
  <c r="P26" i="29"/>
  <c r="Y26" i="29" s="1"/>
  <c r="S26" i="29" s="1"/>
  <c r="V26" i="29" l="1"/>
  <c r="U26" i="29"/>
  <c r="F27" i="29"/>
  <c r="D27" i="29"/>
  <c r="O27" i="29" l="1"/>
  <c r="M27" i="29"/>
  <c r="G27" i="29"/>
  <c r="H27" i="29" s="1"/>
  <c r="K27" i="29"/>
  <c r="I27" i="29"/>
  <c r="P27" i="29" l="1"/>
  <c r="Y27" i="29" s="1"/>
  <c r="S27" i="29" s="1"/>
  <c r="J27" i="29"/>
  <c r="N27" i="29"/>
  <c r="L27" i="29"/>
  <c r="F28" i="29" l="1"/>
  <c r="Z27" i="29"/>
  <c r="T27" i="29" s="1"/>
  <c r="E28" i="29" s="1"/>
  <c r="X27" i="29"/>
  <c r="R27" i="29" s="1"/>
  <c r="C28" i="29" s="1"/>
  <c r="W27" i="29"/>
  <c r="V27" i="29" l="1"/>
  <c r="Q27" i="29"/>
  <c r="D28" i="29" l="1"/>
  <c r="G28" i="29" s="1"/>
  <c r="H28" i="29" s="1"/>
  <c r="U27" i="29"/>
  <c r="I28" i="29" l="1"/>
  <c r="J28" i="29" s="1"/>
  <c r="X28" i="29" s="1"/>
  <c r="R28" i="29" s="1"/>
  <c r="C29" i="29" s="1"/>
  <c r="O28" i="29"/>
  <c r="P28" i="29" s="1"/>
  <c r="M28" i="29"/>
  <c r="N28" i="29" s="1"/>
  <c r="K28" i="29"/>
  <c r="L28" i="29" s="1"/>
  <c r="W28" i="29" l="1"/>
  <c r="Y28" i="29"/>
  <c r="S28" i="29" s="1"/>
  <c r="Z28" i="29"/>
  <c r="T28" i="29" s="1"/>
  <c r="E29" i="29" s="1"/>
  <c r="F29" i="29" l="1"/>
  <c r="V28" i="29"/>
  <c r="Q28" i="29"/>
  <c r="D29" i="29" l="1"/>
  <c r="M29" i="29" s="1"/>
  <c r="U28" i="29"/>
  <c r="K29" i="29" l="1"/>
  <c r="G29" i="29"/>
  <c r="H29" i="29" s="1"/>
  <c r="N29" i="29" s="1"/>
  <c r="I29" i="29"/>
  <c r="O29" i="29"/>
  <c r="P29" i="29" l="1"/>
  <c r="Y29" i="29" s="1"/>
  <c r="S29" i="29" s="1"/>
  <c r="J29" i="29"/>
  <c r="X29" i="29" s="1"/>
  <c r="R29" i="29" s="1"/>
  <c r="C30" i="29" s="1"/>
  <c r="L29" i="29"/>
  <c r="W29" i="29" s="1"/>
  <c r="Z29" i="29"/>
  <c r="T29" i="29" s="1"/>
  <c r="E30" i="29" s="1"/>
  <c r="F30" i="29" l="1"/>
  <c r="V29" i="29"/>
  <c r="Q29" i="29"/>
  <c r="D30" i="29" l="1"/>
  <c r="M30" i="29" s="1"/>
  <c r="U29" i="29"/>
  <c r="O30" i="29" l="1"/>
  <c r="I30" i="29"/>
  <c r="G30" i="29"/>
  <c r="H30" i="29" s="1"/>
  <c r="K30" i="29"/>
  <c r="L30" i="29" l="1"/>
  <c r="W30" i="29" s="1"/>
  <c r="Q30" i="29" s="1"/>
  <c r="N30" i="29"/>
  <c r="Z30" i="29" s="1"/>
  <c r="T30" i="29" s="1"/>
  <c r="E31" i="29" s="1"/>
  <c r="P30" i="29"/>
  <c r="Y30" i="29" s="1"/>
  <c r="S30" i="29" s="1"/>
  <c r="J30" i="29"/>
  <c r="X30" i="29" s="1"/>
  <c r="R30" i="29" s="1"/>
  <c r="C31" i="29" s="1"/>
  <c r="V30" i="29" l="1"/>
  <c r="U30" i="29"/>
  <c r="F31" i="29"/>
  <c r="D31" i="29"/>
  <c r="O31" i="29" l="1"/>
  <c r="G31" i="29"/>
  <c r="H31" i="29" s="1"/>
  <c r="I31" i="29"/>
  <c r="M31" i="29"/>
  <c r="K31" i="29"/>
  <c r="L31" i="29" l="1"/>
  <c r="W31" i="29" s="1"/>
  <c r="Q31" i="29" s="1"/>
  <c r="N31" i="29"/>
  <c r="J31" i="29"/>
  <c r="P31" i="29"/>
  <c r="D32" i="29" l="1"/>
  <c r="Z31" i="29"/>
  <c r="T31" i="29" s="1"/>
  <c r="E32" i="29" s="1"/>
  <c r="X31" i="29"/>
  <c r="R31" i="29" s="1"/>
  <c r="C32" i="29" s="1"/>
  <c r="Y31" i="29"/>
  <c r="S31" i="29" s="1"/>
  <c r="F32" i="29" l="1"/>
  <c r="I32" i="29" s="1"/>
  <c r="V31" i="29"/>
  <c r="U31" i="29"/>
  <c r="G32" i="29" l="1"/>
  <c r="H32" i="29" s="1"/>
  <c r="J32" i="29" s="1"/>
  <c r="M32" i="29"/>
  <c r="K32" i="29"/>
  <c r="O32" i="29"/>
  <c r="L32" i="29" l="1"/>
  <c r="W32" i="29" s="1"/>
  <c r="N32" i="29"/>
  <c r="Z32" i="29" s="1"/>
  <c r="T32" i="29" s="1"/>
  <c r="E33" i="29" s="1"/>
  <c r="P32" i="29"/>
  <c r="Y32" i="29" s="1"/>
  <c r="S32" i="29" s="1"/>
  <c r="X32" i="29"/>
  <c r="R32" i="29" s="1"/>
  <c r="C33" i="29" s="1"/>
  <c r="F33" i="29" l="1"/>
  <c r="V32" i="29"/>
  <c r="Q32" i="29"/>
  <c r="D33" i="29" l="1"/>
  <c r="O33" i="29" s="1"/>
  <c r="U32" i="29"/>
  <c r="G33" i="29" l="1"/>
  <c r="H33" i="29" s="1"/>
  <c r="P33" i="29" s="1"/>
  <c r="Y33" i="29" s="1"/>
  <c r="S33" i="29" s="1"/>
  <c r="M33" i="29"/>
  <c r="K33" i="29"/>
  <c r="I33" i="29"/>
  <c r="J33" i="29" l="1"/>
  <c r="X33" i="29" s="1"/>
  <c r="R33" i="29" s="1"/>
  <c r="C34" i="29" s="1"/>
  <c r="L33" i="29"/>
  <c r="W33" i="29" s="1"/>
  <c r="N33" i="29"/>
  <c r="Z33" i="29" s="1"/>
  <c r="T33" i="29" s="1"/>
  <c r="E34" i="29" s="1"/>
  <c r="F34" i="29"/>
  <c r="V33" i="29" l="1"/>
  <c r="Q33" i="29"/>
  <c r="D34" i="29" l="1"/>
  <c r="G34" i="29" s="1"/>
  <c r="H34" i="29" s="1"/>
  <c r="U33" i="29"/>
  <c r="K34" i="29" l="1"/>
  <c r="L34" i="29" s="1"/>
  <c r="W34" i="29" s="1"/>
  <c r="I34" i="29"/>
  <c r="J34" i="29" s="1"/>
  <c r="X34" i="29" s="1"/>
  <c r="R34" i="29" s="1"/>
  <c r="C35" i="29" s="1"/>
  <c r="O34" i="29"/>
  <c r="P34" i="29" s="1"/>
  <c r="Y34" i="29" s="1"/>
  <c r="S34" i="29" s="1"/>
  <c r="M34" i="29"/>
  <c r="N34" i="29" s="1"/>
  <c r="Z34" i="29" s="1"/>
  <c r="T34" i="29" s="1"/>
  <c r="E35" i="29" s="1"/>
  <c r="V34" i="29" l="1"/>
  <c r="F35" i="29"/>
  <c r="Q34" i="29"/>
  <c r="U34" i="29" s="1"/>
  <c r="D35" i="29" l="1"/>
  <c r="G35" i="29" s="1"/>
  <c r="H35" i="29" s="1"/>
  <c r="H36" i="29" s="1"/>
  <c r="O35" i="29" l="1"/>
  <c r="P35" i="29" s="1"/>
  <c r="I35" i="29"/>
  <c r="J35" i="29" s="1"/>
  <c r="K35" i="29"/>
  <c r="L35" i="29" s="1"/>
  <c r="M35" i="29"/>
  <c r="N35" i="29" s="1"/>
  <c r="Z35" i="29" l="1"/>
  <c r="T35" i="29" s="1"/>
  <c r="X35" i="29"/>
  <c r="R35" i="29" s="1"/>
  <c r="W35" i="29"/>
  <c r="Q35" i="29" s="1"/>
  <c r="Y35" i="29"/>
  <c r="S35" i="29" s="1"/>
  <c r="V35" i="29" l="1"/>
  <c r="U35" i="29"/>
  <c r="F7" i="1" l="1"/>
  <c r="F8" i="1"/>
  <c r="F9" i="1"/>
  <c r="F10" i="1"/>
  <c r="F11" i="1"/>
  <c r="F12" i="1"/>
  <c r="F13" i="1"/>
  <c r="F14" i="1"/>
  <c r="F15" i="1"/>
  <c r="F16" i="1"/>
  <c r="F17" i="1"/>
  <c r="F18" i="1"/>
  <c r="F19" i="1"/>
  <c r="F20" i="1"/>
  <c r="F21" i="1"/>
  <c r="F22" i="1"/>
  <c r="F23" i="1"/>
  <c r="F24" i="1"/>
  <c r="F25" i="1"/>
  <c r="F26" i="1"/>
  <c r="F6" i="1"/>
  <c r="D7" i="1"/>
  <c r="D8" i="1"/>
  <c r="D9" i="1"/>
  <c r="D10" i="1"/>
  <c r="D11" i="1"/>
  <c r="D12" i="1"/>
  <c r="D13" i="1"/>
  <c r="D14" i="1"/>
  <c r="D15" i="1"/>
  <c r="D16" i="1"/>
  <c r="D17" i="1"/>
  <c r="D18" i="1"/>
  <c r="D19" i="1"/>
  <c r="D20" i="1"/>
  <c r="D21" i="1"/>
  <c r="D22" i="1"/>
  <c r="D23" i="1"/>
  <c r="D24" i="1"/>
  <c r="D25" i="1"/>
  <c r="D26" i="1"/>
  <c r="D6" i="1"/>
  <c r="H6" i="1" s="1"/>
  <c r="F7" i="27"/>
  <c r="E7" i="27"/>
  <c r="D7" i="27"/>
  <c r="C7" i="27"/>
  <c r="A7" i="1"/>
  <c r="A8" i="1"/>
  <c r="A9" i="1"/>
  <c r="A10" i="1"/>
  <c r="A11" i="1"/>
  <c r="A12" i="1"/>
  <c r="A13" i="1"/>
  <c r="A14" i="1"/>
  <c r="A15" i="1"/>
  <c r="A16" i="1"/>
  <c r="A17" i="1"/>
  <c r="A18" i="1"/>
  <c r="A19" i="1"/>
  <c r="A20" i="1"/>
  <c r="A21" i="1"/>
  <c r="A22" i="1"/>
  <c r="A23" i="1"/>
  <c r="A24" i="1"/>
  <c r="A25" i="1"/>
  <c r="A26" i="1"/>
  <c r="A6" i="1"/>
  <c r="B6" i="1"/>
  <c r="B7" i="1"/>
  <c r="J4" i="18"/>
  <c r="D5" i="23"/>
  <c r="C5" i="23"/>
  <c r="F7" i="22"/>
  <c r="E7" i="22"/>
  <c r="D7" i="22"/>
  <c r="C7" i="22"/>
  <c r="F2" i="2"/>
  <c r="G7" i="27" l="1"/>
  <c r="I7" i="27"/>
  <c r="O7" i="27"/>
  <c r="K7" i="27"/>
  <c r="M7" i="27"/>
  <c r="E5" i="23"/>
  <c r="K5" i="23" s="1"/>
  <c r="G5" i="23"/>
  <c r="I5" i="23"/>
  <c r="N33" i="19"/>
  <c r="X7" i="27" l="1"/>
  <c r="H7" i="27"/>
  <c r="N7" i="27" s="1"/>
  <c r="T7" i="27" s="1"/>
  <c r="E8" i="27" s="1"/>
  <c r="F5" i="23"/>
  <c r="H5" i="23" s="1"/>
  <c r="N5" i="23" s="1"/>
  <c r="C6" i="23" s="1"/>
  <c r="L5" i="23"/>
  <c r="D4" i="19"/>
  <c r="C4" i="19"/>
  <c r="M3" i="19"/>
  <c r="L3" i="19"/>
  <c r="L34" i="19" s="1"/>
  <c r="K3" i="19"/>
  <c r="K34" i="19" s="1"/>
  <c r="J3" i="19"/>
  <c r="M1" i="19"/>
  <c r="K1" i="19"/>
  <c r="F36" i="16"/>
  <c r="F38" i="16" s="1"/>
  <c r="D5" i="18"/>
  <c r="C5" i="18"/>
  <c r="K4" i="18"/>
  <c r="K1" i="18"/>
  <c r="L7" i="27" l="1"/>
  <c r="Q7" i="27" s="1"/>
  <c r="Y7" i="27"/>
  <c r="J7" i="27"/>
  <c r="R7" i="27" s="1"/>
  <c r="C8" i="27" s="1"/>
  <c r="P7" i="27"/>
  <c r="S7" i="27" s="1"/>
  <c r="J5" i="23"/>
  <c r="M5" i="23" s="1"/>
  <c r="D6" i="23" s="1"/>
  <c r="F4" i="19"/>
  <c r="G4" i="19" s="1"/>
  <c r="K4" i="19" s="1"/>
  <c r="E4" i="19"/>
  <c r="F5" i="18"/>
  <c r="G5" i="18" s="1"/>
  <c r="K5" i="18" s="1"/>
  <c r="I5" i="18" s="1"/>
  <c r="D6" i="18" s="1"/>
  <c r="E5" i="18"/>
  <c r="D4" i="16"/>
  <c r="C4" i="16"/>
  <c r="N3" i="16"/>
  <c r="M3" i="16"/>
  <c r="L3" i="16"/>
  <c r="K3" i="16"/>
  <c r="N1" i="16"/>
  <c r="L1" i="16"/>
  <c r="D8" i="27" l="1"/>
  <c r="U7" i="27"/>
  <c r="V7" i="27"/>
  <c r="F8" i="27"/>
  <c r="E6" i="23"/>
  <c r="K6" i="23" s="1"/>
  <c r="I6" i="23"/>
  <c r="G6" i="23"/>
  <c r="J4" i="19"/>
  <c r="J5" i="19" s="1"/>
  <c r="M4" i="19"/>
  <c r="I4" i="19" s="1"/>
  <c r="D5" i="19" s="1"/>
  <c r="L4" i="19"/>
  <c r="J5" i="18"/>
  <c r="E4" i="16"/>
  <c r="F4" i="16" s="1"/>
  <c r="G4" i="16"/>
  <c r="H4" i="16" s="1"/>
  <c r="N4" i="16" s="1"/>
  <c r="K3" i="15"/>
  <c r="J3" i="15"/>
  <c r="K1" i="15"/>
  <c r="D4" i="15"/>
  <c r="C4" i="15"/>
  <c r="M3" i="15"/>
  <c r="L3" i="15"/>
  <c r="M1" i="15"/>
  <c r="I8" i="27" l="1"/>
  <c r="O8" i="27"/>
  <c r="K8" i="27"/>
  <c r="M8" i="27"/>
  <c r="G8" i="27"/>
  <c r="F6" i="23"/>
  <c r="J6" i="23" s="1"/>
  <c r="M6" i="23" s="1"/>
  <c r="L6" i="23"/>
  <c r="H5" i="18"/>
  <c r="C6" i="18" s="1"/>
  <c r="H4" i="19"/>
  <c r="C5" i="19" s="1"/>
  <c r="E5" i="19" s="1"/>
  <c r="L4" i="16"/>
  <c r="K4" i="16"/>
  <c r="M4" i="16"/>
  <c r="F4" i="15"/>
  <c r="E4" i="15"/>
  <c r="K1" i="13"/>
  <c r="K3" i="13"/>
  <c r="J3" i="13"/>
  <c r="D4" i="13"/>
  <c r="C4" i="13"/>
  <c r="X8" i="27" l="1"/>
  <c r="H8" i="27"/>
  <c r="L8" i="27" s="1"/>
  <c r="Q8" i="27" s="1"/>
  <c r="H6" i="23"/>
  <c r="N6" i="23" s="1"/>
  <c r="C7" i="23" s="1"/>
  <c r="D7" i="23"/>
  <c r="F6" i="18"/>
  <c r="J6" i="18" s="1"/>
  <c r="H6" i="18" s="1"/>
  <c r="C7" i="18" s="1"/>
  <c r="E6" i="18"/>
  <c r="F5" i="19"/>
  <c r="I4" i="16"/>
  <c r="C5" i="16" s="1"/>
  <c r="J4" i="16"/>
  <c r="D5" i="16" s="1"/>
  <c r="G4" i="15"/>
  <c r="J4" i="15"/>
  <c r="L4" i="15"/>
  <c r="F4" i="13"/>
  <c r="J4" i="13" s="1"/>
  <c r="E4" i="13"/>
  <c r="J8" i="27" l="1"/>
  <c r="R8" i="27" s="1"/>
  <c r="C9" i="27" s="1"/>
  <c r="D9" i="27"/>
  <c r="P8" i="27"/>
  <c r="S8" i="27" s="1"/>
  <c r="Y8" i="27"/>
  <c r="N8" i="27"/>
  <c r="T8" i="27" s="1"/>
  <c r="E9" i="27" s="1"/>
  <c r="G7" i="23"/>
  <c r="I7" i="23"/>
  <c r="E7" i="23"/>
  <c r="G6" i="18"/>
  <c r="K6" i="18" s="1"/>
  <c r="I6" i="18" s="1"/>
  <c r="D7" i="18" s="1"/>
  <c r="G5" i="19"/>
  <c r="K5" i="19" s="1"/>
  <c r="L5" i="19"/>
  <c r="H5" i="19" s="1"/>
  <c r="E5" i="16"/>
  <c r="F5" i="16" s="1"/>
  <c r="G5" i="16"/>
  <c r="H5" i="16" s="1"/>
  <c r="H4" i="15"/>
  <c r="C5" i="15" s="1"/>
  <c r="K4" i="15"/>
  <c r="M4" i="15"/>
  <c r="G4" i="13"/>
  <c r="H4" i="13"/>
  <c r="C5" i="13" s="1"/>
  <c r="F9" i="27" l="1"/>
  <c r="M9" i="27" s="1"/>
  <c r="V8" i="27"/>
  <c r="U8" i="27"/>
  <c r="F7" i="23"/>
  <c r="J7" i="23" s="1"/>
  <c r="M7" i="23" s="1"/>
  <c r="K7" i="23"/>
  <c r="M5" i="19"/>
  <c r="I5" i="19" s="1"/>
  <c r="D6" i="19" s="1"/>
  <c r="C6" i="19"/>
  <c r="F7" i="18"/>
  <c r="E7" i="18"/>
  <c r="M5" i="16"/>
  <c r="K5" i="16"/>
  <c r="L5" i="16"/>
  <c r="N5" i="16"/>
  <c r="I4" i="15"/>
  <c r="D5" i="15" s="1"/>
  <c r="F5" i="15" s="1"/>
  <c r="K4" i="13"/>
  <c r="I4" i="13"/>
  <c r="D5" i="13" s="1"/>
  <c r="I9" i="27" l="1"/>
  <c r="K9" i="27"/>
  <c r="G9" i="27"/>
  <c r="X9" i="27" s="1"/>
  <c r="O9" i="27"/>
  <c r="L7" i="23"/>
  <c r="H7" i="23"/>
  <c r="N7" i="23" s="1"/>
  <c r="C8" i="23" s="1"/>
  <c r="F6" i="19"/>
  <c r="G6" i="19" s="1"/>
  <c r="E6" i="19"/>
  <c r="I5" i="16"/>
  <c r="C6" i="16" s="1"/>
  <c r="J5" i="16"/>
  <c r="D6" i="16" s="1"/>
  <c r="G7" i="18"/>
  <c r="J7" i="18"/>
  <c r="H7" i="18" s="1"/>
  <c r="E5" i="15"/>
  <c r="J5" i="15"/>
  <c r="L5" i="15"/>
  <c r="G5" i="15"/>
  <c r="F5" i="13"/>
  <c r="E5" i="13"/>
  <c r="D4" i="6"/>
  <c r="C4" i="6"/>
  <c r="G2" i="6"/>
  <c r="F2" i="6"/>
  <c r="H9" i="27" l="1"/>
  <c r="N9" i="27" s="1"/>
  <c r="T9" i="27" s="1"/>
  <c r="E10" i="27" s="1"/>
  <c r="Y9" i="27"/>
  <c r="D8" i="23"/>
  <c r="J6" i="19"/>
  <c r="L6" i="19"/>
  <c r="C8" i="18"/>
  <c r="K7" i="18"/>
  <c r="I7" i="18" s="1"/>
  <c r="G6" i="16"/>
  <c r="E6" i="16"/>
  <c r="F6" i="16" s="1"/>
  <c r="H5" i="15"/>
  <c r="C6" i="15" s="1"/>
  <c r="K5" i="15"/>
  <c r="M5" i="15"/>
  <c r="J5" i="13"/>
  <c r="H5" i="13"/>
  <c r="C6" i="13" s="1"/>
  <c r="G5" i="13"/>
  <c r="E4" i="6"/>
  <c r="F4" i="6"/>
  <c r="D4" i="3"/>
  <c r="C4" i="3"/>
  <c r="G2" i="2"/>
  <c r="D4" i="2"/>
  <c r="B8" i="1"/>
  <c r="B9" i="1"/>
  <c r="B10" i="1"/>
  <c r="B11" i="1"/>
  <c r="B12" i="1"/>
  <c r="B13" i="1"/>
  <c r="B14" i="1"/>
  <c r="B15" i="1"/>
  <c r="B16" i="1"/>
  <c r="B17" i="1"/>
  <c r="B18" i="1"/>
  <c r="B19" i="1"/>
  <c r="B20" i="1"/>
  <c r="B21" i="1"/>
  <c r="B22" i="1"/>
  <c r="B23" i="1"/>
  <c r="B24" i="1"/>
  <c r="B25" i="1"/>
  <c r="B26" i="1"/>
  <c r="P9" i="27" l="1"/>
  <c r="S9" i="27" s="1"/>
  <c r="F10" i="27" s="1"/>
  <c r="L9" i="27"/>
  <c r="Q9" i="27" s="1"/>
  <c r="J9" i="27"/>
  <c r="R9" i="27" s="1"/>
  <c r="C10" i="27" s="1"/>
  <c r="G8" i="23"/>
  <c r="E8" i="23"/>
  <c r="K8" i="23" s="1"/>
  <c r="I8" i="23"/>
  <c r="H26" i="1"/>
  <c r="J26" i="1" s="1"/>
  <c r="H22" i="1"/>
  <c r="J22" i="1" s="1"/>
  <c r="H18" i="1"/>
  <c r="J18" i="1" s="1"/>
  <c r="H14" i="1"/>
  <c r="J14" i="1" s="1"/>
  <c r="H10" i="1"/>
  <c r="J10" i="1" s="1"/>
  <c r="H25" i="1"/>
  <c r="J25" i="1" s="1"/>
  <c r="H21" i="1"/>
  <c r="J21" i="1" s="1"/>
  <c r="H17" i="1"/>
  <c r="J17" i="1" s="1"/>
  <c r="H13" i="1"/>
  <c r="J13" i="1" s="1"/>
  <c r="H9" i="1"/>
  <c r="J9" i="1" s="1"/>
  <c r="H24" i="1"/>
  <c r="J24" i="1" s="1"/>
  <c r="H20" i="1"/>
  <c r="J20" i="1" s="1"/>
  <c r="H16" i="1"/>
  <c r="J16" i="1" s="1"/>
  <c r="H12" i="1"/>
  <c r="J12" i="1" s="1"/>
  <c r="H23" i="1"/>
  <c r="J23" i="1" s="1"/>
  <c r="H19" i="1"/>
  <c r="J19" i="1" s="1"/>
  <c r="H15" i="1"/>
  <c r="J15" i="1" s="1"/>
  <c r="H11" i="1"/>
  <c r="J11" i="1" s="1"/>
  <c r="H8" i="1"/>
  <c r="J8" i="1" s="1"/>
  <c r="H7" i="1"/>
  <c r="J7" i="1" s="1"/>
  <c r="J6" i="1"/>
  <c r="G4" i="3"/>
  <c r="E4" i="3"/>
  <c r="H6" i="19"/>
  <c r="C7" i="19" s="1"/>
  <c r="K6" i="19"/>
  <c r="M6" i="19"/>
  <c r="D8" i="18"/>
  <c r="H6" i="16"/>
  <c r="M6" i="16"/>
  <c r="K6" i="16"/>
  <c r="I5" i="15"/>
  <c r="D6" i="15" s="1"/>
  <c r="F6" i="15" s="1"/>
  <c r="I5" i="13"/>
  <c r="D6" i="13" s="1"/>
  <c r="K5" i="13"/>
  <c r="G4" i="6"/>
  <c r="I4" i="6"/>
  <c r="C5" i="6" s="1"/>
  <c r="I4" i="3"/>
  <c r="C4" i="2"/>
  <c r="F4" i="2" s="1"/>
  <c r="U9" i="27" l="1"/>
  <c r="V9" i="27"/>
  <c r="D10" i="27"/>
  <c r="O10" i="27" s="1"/>
  <c r="F8" i="23"/>
  <c r="H8" i="23" s="1"/>
  <c r="N8" i="23" s="1"/>
  <c r="C9" i="23" s="1"/>
  <c r="L8" i="23"/>
  <c r="H4" i="2"/>
  <c r="I6" i="19"/>
  <c r="D7" i="19" s="1"/>
  <c r="I6" i="16"/>
  <c r="C7" i="16" s="1"/>
  <c r="E8" i="18"/>
  <c r="F8" i="18"/>
  <c r="N6" i="16"/>
  <c r="L6" i="16"/>
  <c r="E6" i="15"/>
  <c r="G6" i="15"/>
  <c r="L6" i="15"/>
  <c r="J6" i="15"/>
  <c r="F6" i="13"/>
  <c r="J6" i="13" s="1"/>
  <c r="E6" i="13"/>
  <c r="F4" i="3"/>
  <c r="J4" i="3" s="1"/>
  <c r="K4" i="3"/>
  <c r="N4" i="3" s="1"/>
  <c r="C5" i="3" s="1"/>
  <c r="G4" i="2"/>
  <c r="I4" i="2" s="1"/>
  <c r="H4" i="6"/>
  <c r="D5" i="6" s="1"/>
  <c r="E5" i="6" s="1"/>
  <c r="E4" i="2"/>
  <c r="K10" i="27" l="1"/>
  <c r="I10" i="27"/>
  <c r="G10" i="27"/>
  <c r="X10" i="27" s="1"/>
  <c r="M10" i="27"/>
  <c r="J8" i="23"/>
  <c r="M8" i="23" s="1"/>
  <c r="D9" i="23" s="1"/>
  <c r="H4" i="3"/>
  <c r="F7" i="19"/>
  <c r="E7" i="19"/>
  <c r="J6" i="16"/>
  <c r="D7" i="16" s="1"/>
  <c r="G8" i="18"/>
  <c r="J8" i="18"/>
  <c r="H8" i="18" s="1"/>
  <c r="H6" i="15"/>
  <c r="C7" i="15" s="1"/>
  <c r="M6" i="15"/>
  <c r="K6" i="15"/>
  <c r="H6" i="13"/>
  <c r="C7" i="13" s="1"/>
  <c r="G6" i="13"/>
  <c r="K6" i="13" s="1"/>
  <c r="L4" i="3"/>
  <c r="M4" i="3" s="1"/>
  <c r="D5" i="3" s="1"/>
  <c r="E5" i="3" s="1"/>
  <c r="F5" i="3" s="1"/>
  <c r="D5" i="2"/>
  <c r="F5" i="6"/>
  <c r="C5" i="2"/>
  <c r="H10" i="27" l="1"/>
  <c r="N10" i="27" s="1"/>
  <c r="T10" i="27" s="1"/>
  <c r="E11" i="27" s="1"/>
  <c r="Y10" i="27"/>
  <c r="I9" i="23"/>
  <c r="E9" i="23"/>
  <c r="G9" i="23"/>
  <c r="G7" i="19"/>
  <c r="L7" i="19"/>
  <c r="J7" i="19"/>
  <c r="E7" i="16"/>
  <c r="F7" i="16" s="1"/>
  <c r="K8" i="18"/>
  <c r="I8" i="18" s="1"/>
  <c r="C9" i="18"/>
  <c r="G7" i="16"/>
  <c r="I6" i="15"/>
  <c r="D7" i="15" s="1"/>
  <c r="I6" i="13"/>
  <c r="D7" i="13" s="1"/>
  <c r="G5" i="6"/>
  <c r="I5" i="6"/>
  <c r="C6" i="6" s="1"/>
  <c r="G5" i="3"/>
  <c r="I5" i="3"/>
  <c r="F5" i="2"/>
  <c r="E5" i="2"/>
  <c r="P10" i="27" l="1"/>
  <c r="S10" i="27" s="1"/>
  <c r="F11" i="27" s="1"/>
  <c r="J10" i="27"/>
  <c r="R10" i="27" s="1"/>
  <c r="C11" i="27" s="1"/>
  <c r="L10" i="27"/>
  <c r="Q10" i="27" s="1"/>
  <c r="D11" i="27" s="1"/>
  <c r="K9" i="23"/>
  <c r="F9" i="23"/>
  <c r="H9" i="23" s="1"/>
  <c r="N9" i="23" s="1"/>
  <c r="H5" i="2"/>
  <c r="C6" i="2" s="1"/>
  <c r="H7" i="19"/>
  <c r="C8" i="19" s="1"/>
  <c r="M7" i="19"/>
  <c r="K7" i="19"/>
  <c r="D9" i="18"/>
  <c r="H7" i="16"/>
  <c r="M7" i="16"/>
  <c r="K7" i="16"/>
  <c r="F7" i="15"/>
  <c r="E7" i="15"/>
  <c r="F7" i="13"/>
  <c r="E7" i="13"/>
  <c r="J5" i="3"/>
  <c r="K5" i="3"/>
  <c r="N5" i="3" s="1"/>
  <c r="C6" i="3" s="1"/>
  <c r="H5" i="6"/>
  <c r="D6" i="6" s="1"/>
  <c r="G5" i="2"/>
  <c r="I5" i="2" s="1"/>
  <c r="G11" i="27" l="1"/>
  <c r="H11" i="27" s="1"/>
  <c r="I11" i="27"/>
  <c r="M11" i="27"/>
  <c r="K11" i="27"/>
  <c r="U10" i="27"/>
  <c r="O11" i="27"/>
  <c r="V10" i="27"/>
  <c r="J9" i="23"/>
  <c r="M9" i="23" s="1"/>
  <c r="L9" i="23"/>
  <c r="C10" i="23"/>
  <c r="I7" i="19"/>
  <c r="D8" i="19" s="1"/>
  <c r="E8" i="19" s="1"/>
  <c r="I7" i="16"/>
  <c r="C8" i="16" s="1"/>
  <c r="E9" i="18"/>
  <c r="F9" i="18"/>
  <c r="N7" i="16"/>
  <c r="L7" i="16"/>
  <c r="J7" i="15"/>
  <c r="L7" i="15"/>
  <c r="G7" i="15"/>
  <c r="J7" i="13"/>
  <c r="H7" i="13"/>
  <c r="C8" i="13" s="1"/>
  <c r="G7" i="13"/>
  <c r="H5" i="3"/>
  <c r="L5" i="3"/>
  <c r="M5" i="3" s="1"/>
  <c r="D6" i="3" s="1"/>
  <c r="D6" i="2"/>
  <c r="E6" i="6"/>
  <c r="F6" i="6"/>
  <c r="X11" i="27" l="1"/>
  <c r="Y11" i="27" s="1"/>
  <c r="P11" i="27"/>
  <c r="S11" i="27" s="1"/>
  <c r="F12" i="27" s="1"/>
  <c r="L11" i="27"/>
  <c r="Q11" i="27" s="1"/>
  <c r="D12" i="27" s="1"/>
  <c r="J11" i="27"/>
  <c r="R11" i="27" s="1"/>
  <c r="C12" i="27" s="1"/>
  <c r="N11" i="27"/>
  <c r="T11" i="27" s="1"/>
  <c r="E12" i="27" s="1"/>
  <c r="D10" i="23"/>
  <c r="G6" i="3"/>
  <c r="I6" i="3"/>
  <c r="E6" i="3"/>
  <c r="F8" i="19"/>
  <c r="J7" i="16"/>
  <c r="D8" i="16" s="1"/>
  <c r="G9" i="18"/>
  <c r="J9" i="18"/>
  <c r="H9" i="18" s="1"/>
  <c r="H7" i="15"/>
  <c r="C8" i="15" s="1"/>
  <c r="M7" i="15"/>
  <c r="K7" i="15"/>
  <c r="K7" i="13"/>
  <c r="I7" i="13"/>
  <c r="D8" i="13" s="1"/>
  <c r="G6" i="6"/>
  <c r="I6" i="6"/>
  <c r="C7" i="6" s="1"/>
  <c r="E6" i="2"/>
  <c r="F6" i="2"/>
  <c r="K12" i="27" l="1"/>
  <c r="I12" i="27"/>
  <c r="U11" i="27"/>
  <c r="M12" i="27"/>
  <c r="O12" i="27"/>
  <c r="V11" i="27"/>
  <c r="G12" i="27"/>
  <c r="E10" i="23"/>
  <c r="K10" i="23" s="1"/>
  <c r="G10" i="23"/>
  <c r="I10" i="23"/>
  <c r="K6" i="3"/>
  <c r="F6" i="3"/>
  <c r="J6" i="3" s="1"/>
  <c r="E8" i="13"/>
  <c r="F8" i="13"/>
  <c r="H6" i="2"/>
  <c r="C7" i="2" s="1"/>
  <c r="G8" i="19"/>
  <c r="J8" i="19"/>
  <c r="L8" i="19"/>
  <c r="C10" i="18"/>
  <c r="K9" i="18"/>
  <c r="I9" i="18" s="1"/>
  <c r="G8" i="16"/>
  <c r="E8" i="16"/>
  <c r="F8" i="16" s="1"/>
  <c r="I7" i="15"/>
  <c r="D8" i="15" s="1"/>
  <c r="E8" i="15" s="1"/>
  <c r="H6" i="6"/>
  <c r="D7" i="6" s="1"/>
  <c r="G6" i="2"/>
  <c r="I6" i="2" s="1"/>
  <c r="X12" i="27" l="1"/>
  <c r="Y12" i="27" s="1"/>
  <c r="H12" i="27"/>
  <c r="N12" i="27" s="1"/>
  <c r="T12" i="27" s="1"/>
  <c r="E13" i="27" s="1"/>
  <c r="F10" i="23"/>
  <c r="H10" i="23" s="1"/>
  <c r="N10" i="23" s="1"/>
  <c r="C11" i="23" s="1"/>
  <c r="L10" i="23"/>
  <c r="H6" i="3"/>
  <c r="L6" i="3"/>
  <c r="M6" i="3" s="1"/>
  <c r="D7" i="3" s="1"/>
  <c r="N6" i="3"/>
  <c r="C7" i="3" s="1"/>
  <c r="H8" i="19"/>
  <c r="C9" i="19" s="1"/>
  <c r="M8" i="19"/>
  <c r="K8" i="19"/>
  <c r="D10" i="18"/>
  <c r="H8" i="16"/>
  <c r="M8" i="16"/>
  <c r="K8" i="16"/>
  <c r="F8" i="15"/>
  <c r="J8" i="13"/>
  <c r="H8" i="13"/>
  <c r="C9" i="13" s="1"/>
  <c r="G8" i="13"/>
  <c r="D7" i="2"/>
  <c r="E7" i="6"/>
  <c r="F7" i="6"/>
  <c r="L12" i="27" l="1"/>
  <c r="Q12" i="27" s="1"/>
  <c r="D13" i="27" s="1"/>
  <c r="J12" i="27"/>
  <c r="R12" i="27" s="1"/>
  <c r="C13" i="27" s="1"/>
  <c r="P12" i="27"/>
  <c r="S12" i="27" s="1"/>
  <c r="J10" i="23"/>
  <c r="M10" i="23" s="1"/>
  <c r="D11" i="23" s="1"/>
  <c r="E7" i="3"/>
  <c r="G7" i="3"/>
  <c r="I7" i="3"/>
  <c r="I8" i="19"/>
  <c r="D9" i="19" s="1"/>
  <c r="I8" i="16"/>
  <c r="C9" i="16" s="1"/>
  <c r="E10" i="18"/>
  <c r="F10" i="18"/>
  <c r="N8" i="16"/>
  <c r="L8" i="16"/>
  <c r="L8" i="15"/>
  <c r="J8" i="15"/>
  <c r="G8" i="15"/>
  <c r="K8" i="13"/>
  <c r="I8" i="13"/>
  <c r="D9" i="13" s="1"/>
  <c r="G7" i="6"/>
  <c r="I7" i="6"/>
  <c r="C8" i="6" s="1"/>
  <c r="E7" i="2"/>
  <c r="F7" i="2"/>
  <c r="U12" i="27" l="1"/>
  <c r="F13" i="27"/>
  <c r="G13" i="27" s="1"/>
  <c r="V12" i="27"/>
  <c r="E11" i="23"/>
  <c r="F11" i="23" s="1"/>
  <c r="G11" i="23"/>
  <c r="I11" i="23"/>
  <c r="K7" i="3"/>
  <c r="F7" i="3"/>
  <c r="J7" i="3" s="1"/>
  <c r="H7" i="2"/>
  <c r="C8" i="2" s="1"/>
  <c r="F9" i="19"/>
  <c r="E9" i="19"/>
  <c r="J8" i="16"/>
  <c r="D9" i="16" s="1"/>
  <c r="G10" i="18"/>
  <c r="J10" i="18"/>
  <c r="H10" i="18" s="1"/>
  <c r="H8" i="15"/>
  <c r="C9" i="15" s="1"/>
  <c r="K8" i="15"/>
  <c r="M8" i="15"/>
  <c r="F9" i="13"/>
  <c r="E9" i="13"/>
  <c r="H7" i="6"/>
  <c r="D8" i="6" s="1"/>
  <c r="G7" i="2"/>
  <c r="I7" i="2" s="1"/>
  <c r="I13" i="27" l="1"/>
  <c r="M13" i="27"/>
  <c r="K13" i="27"/>
  <c r="O13" i="27"/>
  <c r="H13" i="27"/>
  <c r="X13" i="27"/>
  <c r="Y13" i="27" s="1"/>
  <c r="H11" i="23"/>
  <c r="N11" i="23" s="1"/>
  <c r="C12" i="23" s="1"/>
  <c r="K11" i="23"/>
  <c r="L11" i="23" s="1"/>
  <c r="J11" i="23"/>
  <c r="M11" i="23" s="1"/>
  <c r="L7" i="3"/>
  <c r="M7" i="3" s="1"/>
  <c r="D8" i="3" s="1"/>
  <c r="N7" i="3"/>
  <c r="C8" i="3" s="1"/>
  <c r="H7" i="3"/>
  <c r="G9" i="19"/>
  <c r="L9" i="19"/>
  <c r="J9" i="19"/>
  <c r="E9" i="16"/>
  <c r="F9" i="16" s="1"/>
  <c r="C11" i="18"/>
  <c r="K10" i="18"/>
  <c r="I10" i="18" s="1"/>
  <c r="G9" i="16"/>
  <c r="I8" i="15"/>
  <c r="D9" i="15" s="1"/>
  <c r="F9" i="15" s="1"/>
  <c r="J9" i="13"/>
  <c r="G9" i="13"/>
  <c r="H9" i="13"/>
  <c r="C10" i="13" s="1"/>
  <c r="D8" i="2"/>
  <c r="E8" i="6"/>
  <c r="F8" i="6"/>
  <c r="N13" i="27" l="1"/>
  <c r="T13" i="27" s="1"/>
  <c r="E14" i="27" s="1"/>
  <c r="L13" i="27"/>
  <c r="Q13" i="27" s="1"/>
  <c r="P13" i="27"/>
  <c r="S13" i="27" s="1"/>
  <c r="J13" i="27"/>
  <c r="R13" i="27" s="1"/>
  <c r="C14" i="27" s="1"/>
  <c r="D12" i="23"/>
  <c r="I8" i="3"/>
  <c r="G8" i="3"/>
  <c r="E8" i="3"/>
  <c r="H9" i="19"/>
  <c r="C10" i="19" s="1"/>
  <c r="M9" i="19"/>
  <c r="K9" i="19"/>
  <c r="D11" i="18"/>
  <c r="H9" i="16"/>
  <c r="K9" i="16"/>
  <c r="M9" i="16"/>
  <c r="G9" i="15"/>
  <c r="L9" i="15"/>
  <c r="J9" i="15"/>
  <c r="E9" i="15"/>
  <c r="K9" i="13"/>
  <c r="I9" i="13"/>
  <c r="D10" i="13" s="1"/>
  <c r="E8" i="2"/>
  <c r="G8" i="6"/>
  <c r="I8" i="6"/>
  <c r="C9" i="6" s="1"/>
  <c r="F8" i="2"/>
  <c r="F14" i="27" l="1"/>
  <c r="V13" i="27"/>
  <c r="U13" i="27"/>
  <c r="D14" i="27"/>
  <c r="E12" i="23"/>
  <c r="K12" i="23" s="1"/>
  <c r="G12" i="23"/>
  <c r="I12" i="23"/>
  <c r="K8" i="3"/>
  <c r="F8" i="3"/>
  <c r="H8" i="2"/>
  <c r="C9" i="2" s="1"/>
  <c r="I9" i="19"/>
  <c r="D10" i="19" s="1"/>
  <c r="E10" i="19" s="1"/>
  <c r="I9" i="16"/>
  <c r="C10" i="16" s="1"/>
  <c r="E11" i="18"/>
  <c r="F11" i="18"/>
  <c r="L9" i="16"/>
  <c r="N9" i="16"/>
  <c r="K9" i="15"/>
  <c r="M9" i="15"/>
  <c r="H9" i="15"/>
  <c r="C10" i="15" s="1"/>
  <c r="E10" i="13"/>
  <c r="F10" i="13"/>
  <c r="H8" i="6"/>
  <c r="D9" i="6" s="1"/>
  <c r="G8" i="2"/>
  <c r="I8" i="2" s="1"/>
  <c r="I14" i="27" l="1"/>
  <c r="K14" i="27"/>
  <c r="O14" i="27"/>
  <c r="M14" i="27"/>
  <c r="G14" i="27"/>
  <c r="F12" i="23"/>
  <c r="H12" i="23" s="1"/>
  <c r="N12" i="23" s="1"/>
  <c r="C13" i="23" s="1"/>
  <c r="L12" i="23"/>
  <c r="L8" i="3"/>
  <c r="M8" i="3" s="1"/>
  <c r="D9" i="3" s="1"/>
  <c r="N8" i="3"/>
  <c r="C9" i="3" s="1"/>
  <c r="H8" i="3"/>
  <c r="J8" i="3"/>
  <c r="F10" i="19"/>
  <c r="J9" i="16"/>
  <c r="D10" i="16" s="1"/>
  <c r="G11" i="18"/>
  <c r="J11" i="18"/>
  <c r="H11" i="18" s="1"/>
  <c r="I9" i="15"/>
  <c r="D10" i="15" s="1"/>
  <c r="F10" i="15" s="1"/>
  <c r="J10" i="13"/>
  <c r="G10" i="13"/>
  <c r="H10" i="13"/>
  <c r="C11" i="13" s="1"/>
  <c r="D9" i="2"/>
  <c r="F9" i="6"/>
  <c r="E9" i="6"/>
  <c r="X14" i="27" l="1"/>
  <c r="Y14" i="27" s="1"/>
  <c r="H14" i="27"/>
  <c r="L14" i="27" s="1"/>
  <c r="Q14" i="27" s="1"/>
  <c r="J12" i="23"/>
  <c r="M12" i="23" s="1"/>
  <c r="D13" i="23" s="1"/>
  <c r="G9" i="3"/>
  <c r="E9" i="3"/>
  <c r="I9" i="3"/>
  <c r="G10" i="19"/>
  <c r="J10" i="19"/>
  <c r="L10" i="19"/>
  <c r="C12" i="18"/>
  <c r="K11" i="18"/>
  <c r="I11" i="18" s="1"/>
  <c r="G10" i="16"/>
  <c r="E10" i="16"/>
  <c r="F10" i="16" s="1"/>
  <c r="E10" i="15"/>
  <c r="J10" i="15"/>
  <c r="G10" i="15"/>
  <c r="L10" i="15"/>
  <c r="K10" i="13"/>
  <c r="I10" i="13"/>
  <c r="D11" i="13" s="1"/>
  <c r="E9" i="2"/>
  <c r="G9" i="6"/>
  <c r="H9" i="6" s="1"/>
  <c r="D10" i="6" s="1"/>
  <c r="I9" i="6"/>
  <c r="C10" i="6" s="1"/>
  <c r="F9" i="2"/>
  <c r="H9" i="2" s="1"/>
  <c r="P14" i="27" l="1"/>
  <c r="S14" i="27" s="1"/>
  <c r="U14" i="27" s="1"/>
  <c r="J14" i="27"/>
  <c r="R14" i="27" s="1"/>
  <c r="C15" i="27" s="1"/>
  <c r="N14" i="27"/>
  <c r="T14" i="27" s="1"/>
  <c r="E15" i="27" s="1"/>
  <c r="D15" i="27"/>
  <c r="E13" i="23"/>
  <c r="F13" i="23" s="1"/>
  <c r="I13" i="23"/>
  <c r="G13" i="23"/>
  <c r="K9" i="3"/>
  <c r="F9" i="3"/>
  <c r="J9" i="3" s="1"/>
  <c r="H10" i="19"/>
  <c r="C11" i="19" s="1"/>
  <c r="M10" i="19"/>
  <c r="K10" i="19"/>
  <c r="D12" i="18"/>
  <c r="H10" i="16"/>
  <c r="M10" i="16"/>
  <c r="K10" i="16"/>
  <c r="K10" i="15"/>
  <c r="H10" i="15"/>
  <c r="C11" i="15" s="1"/>
  <c r="M10" i="15"/>
  <c r="F11" i="13"/>
  <c r="E11" i="13"/>
  <c r="C10" i="2"/>
  <c r="E10" i="6"/>
  <c r="F10" i="6"/>
  <c r="G10" i="6" s="1"/>
  <c r="H10" i="6" s="1"/>
  <c r="D11" i="6" s="1"/>
  <c r="G9" i="2"/>
  <c r="I9" i="2" s="1"/>
  <c r="F15" i="27" l="1"/>
  <c r="O15" i="27" s="1"/>
  <c r="V14" i="27"/>
  <c r="K13" i="23"/>
  <c r="L13" i="23" s="1"/>
  <c r="H13" i="23"/>
  <c r="N13" i="23" s="1"/>
  <c r="C14" i="23" s="1"/>
  <c r="J13" i="23"/>
  <c r="M13" i="23" s="1"/>
  <c r="L9" i="3"/>
  <c r="M9" i="3" s="1"/>
  <c r="D10" i="3" s="1"/>
  <c r="N9" i="3"/>
  <c r="C10" i="3" s="1"/>
  <c r="H9" i="3"/>
  <c r="I10" i="19"/>
  <c r="D11" i="19" s="1"/>
  <c r="E11" i="19" s="1"/>
  <c r="I10" i="16"/>
  <c r="C11" i="16" s="1"/>
  <c r="E12" i="18"/>
  <c r="F12" i="18"/>
  <c r="N10" i="16"/>
  <c r="L10" i="16"/>
  <c r="I10" i="15"/>
  <c r="D11" i="15" s="1"/>
  <c r="E11" i="15" s="1"/>
  <c r="J11" i="13"/>
  <c r="G11" i="13"/>
  <c r="H11" i="13"/>
  <c r="C12" i="13" s="1"/>
  <c r="D10" i="2"/>
  <c r="I10" i="6"/>
  <c r="C11" i="6" s="1"/>
  <c r="I15" i="27" l="1"/>
  <c r="K15" i="27"/>
  <c r="G15" i="27"/>
  <c r="H15" i="27" s="1"/>
  <c r="M15" i="27"/>
  <c r="D14" i="23"/>
  <c r="I10" i="3"/>
  <c r="E10" i="3"/>
  <c r="G10" i="3"/>
  <c r="F11" i="19"/>
  <c r="J10" i="16"/>
  <c r="D11" i="16" s="1"/>
  <c r="G12" i="18"/>
  <c r="J12" i="18"/>
  <c r="H12" i="18" s="1"/>
  <c r="F11" i="15"/>
  <c r="K11" i="13"/>
  <c r="I11" i="13"/>
  <c r="D12" i="13" s="1"/>
  <c r="E10" i="2"/>
  <c r="E11" i="6"/>
  <c r="F11" i="6"/>
  <c r="G11" i="6" s="1"/>
  <c r="H11" i="6" s="1"/>
  <c r="D12" i="6" s="1"/>
  <c r="F10" i="2"/>
  <c r="H10" i="2" s="1"/>
  <c r="J15" i="27" l="1"/>
  <c r="R15" i="27" s="1"/>
  <c r="C16" i="27" s="1"/>
  <c r="X15" i="27"/>
  <c r="Y15" i="27" s="1"/>
  <c r="N15" i="27"/>
  <c r="T15" i="27" s="1"/>
  <c r="E16" i="27" s="1"/>
  <c r="P15" i="27"/>
  <c r="S15" i="27" s="1"/>
  <c r="F16" i="27" s="1"/>
  <c r="L15" i="27"/>
  <c r="Q15" i="27" s="1"/>
  <c r="E14" i="23"/>
  <c r="K14" i="23" s="1"/>
  <c r="G14" i="23"/>
  <c r="I14" i="23"/>
  <c r="F10" i="3"/>
  <c r="J10" i="3" s="1"/>
  <c r="K10" i="3"/>
  <c r="G11" i="19"/>
  <c r="L11" i="19"/>
  <c r="J11" i="19"/>
  <c r="E11" i="16"/>
  <c r="F11" i="16" s="1"/>
  <c r="C13" i="18"/>
  <c r="K12" i="18"/>
  <c r="I12" i="18" s="1"/>
  <c r="G11" i="16"/>
  <c r="G11" i="15"/>
  <c r="L11" i="15"/>
  <c r="J11" i="15"/>
  <c r="E12" i="13"/>
  <c r="F12" i="13"/>
  <c r="C11" i="2"/>
  <c r="I11" i="6"/>
  <c r="C12" i="6" s="1"/>
  <c r="G10" i="2"/>
  <c r="I10" i="2" s="1"/>
  <c r="V15" i="27" l="1"/>
  <c r="U15" i="27"/>
  <c r="D16" i="27"/>
  <c r="I16" i="27" s="1"/>
  <c r="F14" i="23"/>
  <c r="J14" i="23" s="1"/>
  <c r="M14" i="23" s="1"/>
  <c r="L14" i="23"/>
  <c r="H10" i="3"/>
  <c r="L10" i="3"/>
  <c r="M10" i="3" s="1"/>
  <c r="D11" i="3" s="1"/>
  <c r="N10" i="3"/>
  <c r="C11" i="3" s="1"/>
  <c r="H11" i="19"/>
  <c r="C12" i="19" s="1"/>
  <c r="M11" i="19"/>
  <c r="K11" i="19"/>
  <c r="D13" i="18"/>
  <c r="H11" i="16"/>
  <c r="K11" i="16"/>
  <c r="M11" i="16"/>
  <c r="K11" i="15"/>
  <c r="M11" i="15"/>
  <c r="H11" i="15"/>
  <c r="C12" i="15" s="1"/>
  <c r="J12" i="13"/>
  <c r="H12" i="13"/>
  <c r="C13" i="13" s="1"/>
  <c r="G12" i="13"/>
  <c r="D11" i="2"/>
  <c r="E12" i="6"/>
  <c r="F12" i="6"/>
  <c r="G12" i="6" s="1"/>
  <c r="H12" i="6" s="1"/>
  <c r="D13" i="6" s="1"/>
  <c r="M16" i="27" l="1"/>
  <c r="K16" i="27"/>
  <c r="G16" i="27"/>
  <c r="O16" i="27"/>
  <c r="H14" i="23"/>
  <c r="N14" i="23" s="1"/>
  <c r="C15" i="23" s="1"/>
  <c r="D15" i="23"/>
  <c r="I11" i="3"/>
  <c r="E11" i="3"/>
  <c r="G11" i="3"/>
  <c r="I11" i="19"/>
  <c r="D12" i="19" s="1"/>
  <c r="I11" i="16"/>
  <c r="C12" i="16" s="1"/>
  <c r="E13" i="18"/>
  <c r="F13" i="18"/>
  <c r="L11" i="16"/>
  <c r="N11" i="16"/>
  <c r="I11" i="15"/>
  <c r="D12" i="15" s="1"/>
  <c r="E12" i="15" s="1"/>
  <c r="K12" i="13"/>
  <c r="I12" i="13"/>
  <c r="D13" i="13" s="1"/>
  <c r="E13" i="13" s="1"/>
  <c r="E11" i="2"/>
  <c r="I12" i="6"/>
  <c r="C13" i="6" s="1"/>
  <c r="F11" i="2"/>
  <c r="H11" i="2" s="1"/>
  <c r="X16" i="27" l="1"/>
  <c r="Y16" i="27" s="1"/>
  <c r="H16" i="27"/>
  <c r="N16" i="27" s="1"/>
  <c r="T16" i="27" s="1"/>
  <c r="E17" i="27" s="1"/>
  <c r="I15" i="23"/>
  <c r="E15" i="23"/>
  <c r="F15" i="23" s="1"/>
  <c r="G15" i="23"/>
  <c r="F11" i="3"/>
  <c r="J11" i="3" s="1"/>
  <c r="K11" i="3"/>
  <c r="F12" i="19"/>
  <c r="E12" i="19"/>
  <c r="J11" i="16"/>
  <c r="D12" i="16" s="1"/>
  <c r="G13" i="18"/>
  <c r="J13" i="18"/>
  <c r="H13" i="18" s="1"/>
  <c r="F12" i="15"/>
  <c r="F13" i="13"/>
  <c r="C12" i="2"/>
  <c r="E13" i="6"/>
  <c r="F13" i="6"/>
  <c r="G13" i="6" s="1"/>
  <c r="H13" i="6" s="1"/>
  <c r="D14" i="6" s="1"/>
  <c r="G11" i="2"/>
  <c r="I11" i="2" s="1"/>
  <c r="L16" i="27" l="1"/>
  <c r="Q16" i="27" s="1"/>
  <c r="D17" i="27" s="1"/>
  <c r="J16" i="27"/>
  <c r="R16" i="27" s="1"/>
  <c r="C17" i="27" s="1"/>
  <c r="P16" i="27"/>
  <c r="S16" i="27" s="1"/>
  <c r="J15" i="23"/>
  <c r="M15" i="23" s="1"/>
  <c r="K15" i="23"/>
  <c r="L15" i="23" s="1"/>
  <c r="H15" i="23"/>
  <c r="N15" i="23" s="1"/>
  <c r="C16" i="23" s="1"/>
  <c r="H11" i="3"/>
  <c r="L11" i="3"/>
  <c r="M11" i="3" s="1"/>
  <c r="D12" i="3" s="1"/>
  <c r="N11" i="3"/>
  <c r="C12" i="3" s="1"/>
  <c r="G12" i="19"/>
  <c r="J12" i="19"/>
  <c r="L12" i="19"/>
  <c r="E12" i="16"/>
  <c r="F12" i="16" s="1"/>
  <c r="C14" i="18"/>
  <c r="K13" i="18"/>
  <c r="I13" i="18" s="1"/>
  <c r="G12" i="16"/>
  <c r="L12" i="15"/>
  <c r="G12" i="15"/>
  <c r="J12" i="15"/>
  <c r="J13" i="13"/>
  <c r="G13" i="13"/>
  <c r="H13" i="13"/>
  <c r="C14" i="13" s="1"/>
  <c r="D12" i="2"/>
  <c r="I13" i="6"/>
  <c r="C14" i="6" s="1"/>
  <c r="U16" i="27" l="1"/>
  <c r="F17" i="27"/>
  <c r="G17" i="27" s="1"/>
  <c r="V16" i="27"/>
  <c r="D16" i="23"/>
  <c r="I12" i="3"/>
  <c r="E12" i="3"/>
  <c r="G12" i="3"/>
  <c r="H12" i="19"/>
  <c r="C13" i="19" s="1"/>
  <c r="K12" i="19"/>
  <c r="M12" i="19"/>
  <c r="D14" i="18"/>
  <c r="H12" i="16"/>
  <c r="K12" i="16"/>
  <c r="M12" i="16"/>
  <c r="H12" i="15"/>
  <c r="C13" i="15" s="1"/>
  <c r="K12" i="15"/>
  <c r="M12" i="15"/>
  <c r="K13" i="13"/>
  <c r="I13" i="13"/>
  <c r="D14" i="13" s="1"/>
  <c r="E12" i="2"/>
  <c r="E14" i="6"/>
  <c r="F14" i="6"/>
  <c r="G14" i="6" s="1"/>
  <c r="H14" i="6" s="1"/>
  <c r="D15" i="6" s="1"/>
  <c r="F12" i="2"/>
  <c r="H12" i="2" s="1"/>
  <c r="I17" i="27" l="1"/>
  <c r="K17" i="27"/>
  <c r="M17" i="27"/>
  <c r="O17" i="27"/>
  <c r="H17" i="27"/>
  <c r="X17" i="27"/>
  <c r="Y17" i="27" s="1"/>
  <c r="I16" i="23"/>
  <c r="E16" i="23"/>
  <c r="F16" i="23" s="1"/>
  <c r="G16" i="23"/>
  <c r="F12" i="3"/>
  <c r="K12" i="3"/>
  <c r="I12" i="19"/>
  <c r="D13" i="19" s="1"/>
  <c r="I12" i="16"/>
  <c r="C13" i="16" s="1"/>
  <c r="F14" i="18"/>
  <c r="E14" i="18"/>
  <c r="N12" i="16"/>
  <c r="L12" i="16"/>
  <c r="I12" i="15"/>
  <c r="D13" i="15" s="1"/>
  <c r="F13" i="15" s="1"/>
  <c r="F14" i="13"/>
  <c r="E14" i="13"/>
  <c r="C13" i="2"/>
  <c r="I14" i="6"/>
  <c r="C15" i="6" s="1"/>
  <c r="G12" i="2"/>
  <c r="I12" i="2" s="1"/>
  <c r="L17" i="27" l="1"/>
  <c r="Q17" i="27" s="1"/>
  <c r="D18" i="27" s="1"/>
  <c r="P17" i="27"/>
  <c r="S17" i="27" s="1"/>
  <c r="N17" i="27"/>
  <c r="T17" i="27" s="1"/>
  <c r="E18" i="27" s="1"/>
  <c r="J17" i="27"/>
  <c r="R17" i="27" s="1"/>
  <c r="C18" i="27" s="1"/>
  <c r="H16" i="23"/>
  <c r="N16" i="23" s="1"/>
  <c r="K16" i="23"/>
  <c r="L16" i="23" s="1"/>
  <c r="J16" i="23"/>
  <c r="M16" i="23" s="1"/>
  <c r="L12" i="3"/>
  <c r="M12" i="3" s="1"/>
  <c r="D13" i="3" s="1"/>
  <c r="N12" i="3"/>
  <c r="C13" i="3" s="1"/>
  <c r="H12" i="3"/>
  <c r="J12" i="3"/>
  <c r="F13" i="19"/>
  <c r="E13" i="19"/>
  <c r="J12" i="16"/>
  <c r="D13" i="16" s="1"/>
  <c r="G14" i="18"/>
  <c r="J14" i="18"/>
  <c r="H14" i="18" s="1"/>
  <c r="E13" i="15"/>
  <c r="J13" i="15"/>
  <c r="L13" i="15"/>
  <c r="G13" i="15"/>
  <c r="J14" i="13"/>
  <c r="G14" i="13"/>
  <c r="H14" i="13"/>
  <c r="C15" i="13" s="1"/>
  <c r="D13" i="2"/>
  <c r="F15" i="6"/>
  <c r="G15" i="6" s="1"/>
  <c r="H15" i="6" s="1"/>
  <c r="D16" i="6" s="1"/>
  <c r="E15" i="6"/>
  <c r="U17" i="27" l="1"/>
  <c r="F18" i="27"/>
  <c r="G18" i="27" s="1"/>
  <c r="V17" i="27"/>
  <c r="C17" i="23"/>
  <c r="D17" i="23"/>
  <c r="I13" i="3"/>
  <c r="G13" i="3"/>
  <c r="E13" i="3"/>
  <c r="G13" i="19"/>
  <c r="L13" i="19"/>
  <c r="J13" i="19"/>
  <c r="K14" i="18"/>
  <c r="I14" i="18" s="1"/>
  <c r="C15" i="18"/>
  <c r="G13" i="16"/>
  <c r="E13" i="16"/>
  <c r="F13" i="16" s="1"/>
  <c r="H13" i="15"/>
  <c r="C14" i="15" s="1"/>
  <c r="K13" i="15"/>
  <c r="M13" i="15"/>
  <c r="K14" i="13"/>
  <c r="I14" i="13"/>
  <c r="D15" i="13" s="1"/>
  <c r="E15" i="13" s="1"/>
  <c r="E13" i="2"/>
  <c r="I15" i="6"/>
  <c r="C16" i="6" s="1"/>
  <c r="F13" i="2"/>
  <c r="H13" i="2" s="1"/>
  <c r="K18" i="27" l="1"/>
  <c r="I18" i="27"/>
  <c r="O18" i="27"/>
  <c r="M18" i="27"/>
  <c r="X18" i="27"/>
  <c r="Y18" i="27" s="1"/>
  <c r="H18" i="27"/>
  <c r="E17" i="23"/>
  <c r="F17" i="23" s="1"/>
  <c r="G17" i="23"/>
  <c r="I17" i="23"/>
  <c r="K13" i="3"/>
  <c r="F13" i="3"/>
  <c r="H13" i="19"/>
  <c r="C14" i="19" s="1"/>
  <c r="M13" i="19"/>
  <c r="K13" i="19"/>
  <c r="D15" i="18"/>
  <c r="H13" i="16"/>
  <c r="M13" i="16"/>
  <c r="K13" i="16"/>
  <c r="I13" i="15"/>
  <c r="D14" i="15" s="1"/>
  <c r="E14" i="15" s="1"/>
  <c r="F15" i="13"/>
  <c r="C14" i="2"/>
  <c r="F16" i="6"/>
  <c r="G16" i="6" s="1"/>
  <c r="H16" i="6" s="1"/>
  <c r="D17" i="6" s="1"/>
  <c r="E16" i="6"/>
  <c r="G13" i="2"/>
  <c r="I13" i="2" s="1"/>
  <c r="J18" i="27" l="1"/>
  <c r="R18" i="27" s="1"/>
  <c r="C19" i="27" s="1"/>
  <c r="L18" i="27"/>
  <c r="Q18" i="27" s="1"/>
  <c r="D19" i="27" s="1"/>
  <c r="P18" i="27"/>
  <c r="S18" i="27" s="1"/>
  <c r="N18" i="27"/>
  <c r="T18" i="27" s="1"/>
  <c r="E19" i="27" s="1"/>
  <c r="J17" i="23"/>
  <c r="M17" i="23" s="1"/>
  <c r="K17" i="23"/>
  <c r="L17" i="23" s="1"/>
  <c r="H17" i="23"/>
  <c r="N17" i="23" s="1"/>
  <c r="H13" i="3"/>
  <c r="J13" i="3"/>
  <c r="L13" i="3"/>
  <c r="M13" i="3" s="1"/>
  <c r="D14" i="3" s="1"/>
  <c r="N13" i="3"/>
  <c r="C14" i="3" s="1"/>
  <c r="I13" i="19"/>
  <c r="D14" i="19" s="1"/>
  <c r="I13" i="16"/>
  <c r="C14" i="16" s="1"/>
  <c r="F15" i="18"/>
  <c r="E15" i="18"/>
  <c r="N13" i="16"/>
  <c r="L13" i="16"/>
  <c r="F14" i="15"/>
  <c r="L14" i="15" s="1"/>
  <c r="J15" i="13"/>
  <c r="H15" i="13"/>
  <c r="C16" i="13" s="1"/>
  <c r="G15" i="13"/>
  <c r="D14" i="2"/>
  <c r="I16" i="6"/>
  <c r="C17" i="6" s="1"/>
  <c r="E17" i="6" s="1"/>
  <c r="U18" i="27" l="1"/>
  <c r="V18" i="27"/>
  <c r="F19" i="27"/>
  <c r="M19" i="27" s="1"/>
  <c r="C18" i="23"/>
  <c r="D18" i="23"/>
  <c r="I14" i="3"/>
  <c r="G14" i="3"/>
  <c r="E14" i="3"/>
  <c r="F14" i="19"/>
  <c r="E14" i="19"/>
  <c r="J13" i="16"/>
  <c r="D14" i="16" s="1"/>
  <c r="G15" i="18"/>
  <c r="J15" i="18"/>
  <c r="H15" i="18" s="1"/>
  <c r="J14" i="15"/>
  <c r="H14" i="15" s="1"/>
  <c r="C15" i="15" s="1"/>
  <c r="G14" i="15"/>
  <c r="K15" i="13"/>
  <c r="I15" i="13"/>
  <c r="D16" i="13" s="1"/>
  <c r="E14" i="2"/>
  <c r="F17" i="6"/>
  <c r="G17" i="6" s="1"/>
  <c r="H17" i="6" s="1"/>
  <c r="D18" i="6" s="1"/>
  <c r="F14" i="2"/>
  <c r="H14" i="2" s="1"/>
  <c r="K19" i="27" l="1"/>
  <c r="I19" i="27"/>
  <c r="O19" i="27"/>
  <c r="G19" i="27"/>
  <c r="H19" i="27" s="1"/>
  <c r="I18" i="23"/>
  <c r="E18" i="23"/>
  <c r="K18" i="23" s="1"/>
  <c r="G18" i="23"/>
  <c r="K14" i="3"/>
  <c r="F14" i="3"/>
  <c r="J14" i="3" s="1"/>
  <c r="G14" i="19"/>
  <c r="J14" i="19"/>
  <c r="L14" i="19"/>
  <c r="C16" i="18"/>
  <c r="K15" i="18"/>
  <c r="I15" i="18" s="1"/>
  <c r="G14" i="16"/>
  <c r="E14" i="16"/>
  <c r="F14" i="16" s="1"/>
  <c r="M14" i="15"/>
  <c r="K14" i="15"/>
  <c r="F16" i="13"/>
  <c r="E16" i="13"/>
  <c r="C15" i="2"/>
  <c r="I17" i="6"/>
  <c r="C18" i="6" s="1"/>
  <c r="G14" i="2"/>
  <c r="I14" i="2" s="1"/>
  <c r="J19" i="27" l="1"/>
  <c r="R19" i="27" s="1"/>
  <c r="C20" i="27" s="1"/>
  <c r="X19" i="27"/>
  <c r="Y19" i="27" s="1"/>
  <c r="L19" i="27"/>
  <c r="Q19" i="27" s="1"/>
  <c r="D20" i="27" s="1"/>
  <c r="P19" i="27"/>
  <c r="S19" i="27" s="1"/>
  <c r="N19" i="27"/>
  <c r="T19" i="27" s="1"/>
  <c r="E20" i="27" s="1"/>
  <c r="F18" i="23"/>
  <c r="H18" i="23" s="1"/>
  <c r="N18" i="23" s="1"/>
  <c r="C19" i="23" s="1"/>
  <c r="L18" i="23"/>
  <c r="L14" i="3"/>
  <c r="M14" i="3" s="1"/>
  <c r="D15" i="3" s="1"/>
  <c r="N14" i="3"/>
  <c r="C15" i="3" s="1"/>
  <c r="H14" i="3"/>
  <c r="H14" i="19"/>
  <c r="C15" i="19" s="1"/>
  <c r="M14" i="19"/>
  <c r="K14" i="19"/>
  <c r="D16" i="18"/>
  <c r="H14" i="16"/>
  <c r="M14" i="16"/>
  <c r="K14" i="16"/>
  <c r="I14" i="15"/>
  <c r="D15" i="15" s="1"/>
  <c r="F15" i="15" s="1"/>
  <c r="J16" i="13"/>
  <c r="G16" i="13"/>
  <c r="H16" i="13"/>
  <c r="C17" i="13" s="1"/>
  <c r="D15" i="2"/>
  <c r="F18" i="6"/>
  <c r="G18" i="6" s="1"/>
  <c r="H18" i="6" s="1"/>
  <c r="D19" i="6" s="1"/>
  <c r="E18" i="6"/>
  <c r="U19" i="27" l="1"/>
  <c r="F20" i="27"/>
  <c r="G20" i="27" s="1"/>
  <c r="V19" i="27"/>
  <c r="J18" i="23"/>
  <c r="M18" i="23" s="1"/>
  <c r="D19" i="23" s="1"/>
  <c r="I15" i="3"/>
  <c r="G15" i="3"/>
  <c r="E15" i="3"/>
  <c r="I14" i="19"/>
  <c r="D15" i="19" s="1"/>
  <c r="E15" i="19" s="1"/>
  <c r="I14" i="16"/>
  <c r="C15" i="16" s="1"/>
  <c r="E16" i="18"/>
  <c r="F16" i="18"/>
  <c r="N14" i="16"/>
  <c r="L14" i="16"/>
  <c r="E15" i="15"/>
  <c r="J15" i="15"/>
  <c r="L15" i="15"/>
  <c r="G15" i="15"/>
  <c r="K16" i="13"/>
  <c r="I16" i="13"/>
  <c r="D17" i="13" s="1"/>
  <c r="E15" i="2"/>
  <c r="F15" i="2"/>
  <c r="H15" i="2" s="1"/>
  <c r="I18" i="6"/>
  <c r="C19" i="6" s="1"/>
  <c r="E19" i="6" s="1"/>
  <c r="I20" i="27" l="1"/>
  <c r="K20" i="27"/>
  <c r="M20" i="27"/>
  <c r="O20" i="27"/>
  <c r="X20" i="27"/>
  <c r="Y20" i="27" s="1"/>
  <c r="H20" i="27"/>
  <c r="E19" i="23"/>
  <c r="F19" i="23" s="1"/>
  <c r="G19" i="23"/>
  <c r="I19" i="23"/>
  <c r="F15" i="3"/>
  <c r="J15" i="3" s="1"/>
  <c r="K15" i="3"/>
  <c r="F15" i="19"/>
  <c r="J14" i="16"/>
  <c r="D15" i="16" s="1"/>
  <c r="G16" i="18"/>
  <c r="J16" i="18"/>
  <c r="H16" i="18" s="1"/>
  <c r="H15" i="15"/>
  <c r="C16" i="15" s="1"/>
  <c r="M15" i="15"/>
  <c r="K15" i="15"/>
  <c r="F17" i="13"/>
  <c r="E17" i="13"/>
  <c r="C16" i="2"/>
  <c r="G15" i="2"/>
  <c r="I15" i="2" s="1"/>
  <c r="F19" i="6"/>
  <c r="G19" i="6" s="1"/>
  <c r="H19" i="6" s="1"/>
  <c r="D20" i="6" s="1"/>
  <c r="P20" i="27" l="1"/>
  <c r="S20" i="27" s="1"/>
  <c r="F21" i="27" s="1"/>
  <c r="N20" i="27"/>
  <c r="T20" i="27" s="1"/>
  <c r="E21" i="27" s="1"/>
  <c r="L20" i="27"/>
  <c r="Q20" i="27" s="1"/>
  <c r="J20" i="27"/>
  <c r="R20" i="27" s="1"/>
  <c r="C21" i="27" s="1"/>
  <c r="J19" i="23"/>
  <c r="M19" i="23" s="1"/>
  <c r="K19" i="23"/>
  <c r="L19" i="23" s="1"/>
  <c r="H19" i="23"/>
  <c r="N19" i="23" s="1"/>
  <c r="H15" i="3"/>
  <c r="L15" i="3"/>
  <c r="M15" i="3" s="1"/>
  <c r="D16" i="3" s="1"/>
  <c r="N15" i="3"/>
  <c r="C16" i="3" s="1"/>
  <c r="G15" i="19"/>
  <c r="L15" i="19"/>
  <c r="J15" i="19"/>
  <c r="E15" i="16"/>
  <c r="F15" i="16" s="1"/>
  <c r="C17" i="18"/>
  <c r="K16" i="18"/>
  <c r="I16" i="18" s="1"/>
  <c r="G15" i="16"/>
  <c r="I15" i="15"/>
  <c r="D16" i="15" s="1"/>
  <c r="J17" i="13"/>
  <c r="G17" i="13"/>
  <c r="H17" i="13"/>
  <c r="C18" i="13" s="1"/>
  <c r="D16" i="2"/>
  <c r="I19" i="6"/>
  <c r="C20" i="6" s="1"/>
  <c r="F20" i="6" s="1"/>
  <c r="G20" i="6" s="1"/>
  <c r="H20" i="6" s="1"/>
  <c r="D21" i="6" s="1"/>
  <c r="U20" i="27" l="1"/>
  <c r="D21" i="27"/>
  <c r="I21" i="27" s="1"/>
  <c r="V20" i="27"/>
  <c r="C20" i="23"/>
  <c r="D20" i="23"/>
  <c r="G16" i="3"/>
  <c r="E16" i="3"/>
  <c r="I16" i="3"/>
  <c r="H15" i="19"/>
  <c r="C16" i="19" s="1"/>
  <c r="M15" i="19"/>
  <c r="K15" i="19"/>
  <c r="D17" i="18"/>
  <c r="H15" i="16"/>
  <c r="M15" i="16"/>
  <c r="K15" i="16"/>
  <c r="E16" i="15"/>
  <c r="F16" i="15"/>
  <c r="K17" i="13"/>
  <c r="I17" i="13"/>
  <c r="D18" i="13" s="1"/>
  <c r="E16" i="2"/>
  <c r="F16" i="2"/>
  <c r="H16" i="2" s="1"/>
  <c r="E20" i="6"/>
  <c r="I20" i="6"/>
  <c r="C21" i="6" s="1"/>
  <c r="M21" i="27" l="1"/>
  <c r="K21" i="27"/>
  <c r="G21" i="27"/>
  <c r="X21" i="27" s="1"/>
  <c r="Y21" i="27" s="1"/>
  <c r="O21" i="27"/>
  <c r="G20" i="23"/>
  <c r="I20" i="23"/>
  <c r="E20" i="23"/>
  <c r="K20" i="23" s="1"/>
  <c r="F16" i="3"/>
  <c r="H16" i="3" s="1"/>
  <c r="K16" i="3"/>
  <c r="I15" i="19"/>
  <c r="D16" i="19" s="1"/>
  <c r="I15" i="16"/>
  <c r="C16" i="16" s="1"/>
  <c r="E17" i="18"/>
  <c r="F17" i="18"/>
  <c r="L15" i="16"/>
  <c r="N15" i="16"/>
  <c r="L16" i="15"/>
  <c r="G16" i="15"/>
  <c r="J16" i="15"/>
  <c r="F18" i="13"/>
  <c r="E18" i="13"/>
  <c r="C17" i="2"/>
  <c r="G16" i="2"/>
  <c r="I16" i="2" s="1"/>
  <c r="E21" i="6"/>
  <c r="F21" i="6"/>
  <c r="G21" i="6" s="1"/>
  <c r="H21" i="6" s="1"/>
  <c r="D22" i="6" s="1"/>
  <c r="H21" i="27" l="1"/>
  <c r="N21" i="27" s="1"/>
  <c r="T21" i="27" s="1"/>
  <c r="E22" i="27" s="1"/>
  <c r="F20" i="23"/>
  <c r="H20" i="23" s="1"/>
  <c r="N20" i="23" s="1"/>
  <c r="C21" i="23" s="1"/>
  <c r="L20" i="23"/>
  <c r="J16" i="3"/>
  <c r="L16" i="3"/>
  <c r="M16" i="3" s="1"/>
  <c r="D17" i="3" s="1"/>
  <c r="N16" i="3"/>
  <c r="C17" i="3" s="1"/>
  <c r="F16" i="19"/>
  <c r="E16" i="19"/>
  <c r="J15" i="16"/>
  <c r="D16" i="16" s="1"/>
  <c r="G17" i="18"/>
  <c r="J17" i="18"/>
  <c r="H17" i="18" s="1"/>
  <c r="H16" i="15"/>
  <c r="C17" i="15" s="1"/>
  <c r="M16" i="15"/>
  <c r="K16" i="15"/>
  <c r="J18" i="13"/>
  <c r="G18" i="13"/>
  <c r="H18" i="13"/>
  <c r="C19" i="13" s="1"/>
  <c r="D17" i="2"/>
  <c r="I21" i="6"/>
  <c r="C22" i="6" s="1"/>
  <c r="F22" i="6" s="1"/>
  <c r="G22" i="6" s="1"/>
  <c r="H22" i="6" s="1"/>
  <c r="D23" i="6" s="1"/>
  <c r="J21" i="27" l="1"/>
  <c r="R21" i="27" s="1"/>
  <c r="C22" i="27" s="1"/>
  <c r="L21" i="27"/>
  <c r="Q21" i="27" s="1"/>
  <c r="D22" i="27" s="1"/>
  <c r="P21" i="27"/>
  <c r="S21" i="27" s="1"/>
  <c r="F22" i="27" s="1"/>
  <c r="J20" i="23"/>
  <c r="M20" i="23" s="1"/>
  <c r="D21" i="23" s="1"/>
  <c r="I17" i="3"/>
  <c r="G17" i="3"/>
  <c r="E17" i="3"/>
  <c r="G16" i="19"/>
  <c r="J16" i="19"/>
  <c r="L16" i="19"/>
  <c r="E16" i="16"/>
  <c r="F16" i="16" s="1"/>
  <c r="C18" i="18"/>
  <c r="K17" i="18"/>
  <c r="I17" i="18" s="1"/>
  <c r="G16" i="16"/>
  <c r="I16" i="15"/>
  <c r="D17" i="15" s="1"/>
  <c r="F17" i="15" s="1"/>
  <c r="J17" i="15" s="1"/>
  <c r="K18" i="13"/>
  <c r="I18" i="13"/>
  <c r="D19" i="13" s="1"/>
  <c r="E17" i="2"/>
  <c r="F17" i="2"/>
  <c r="H17" i="2" s="1"/>
  <c r="E22" i="6"/>
  <c r="I22" i="6"/>
  <c r="C23" i="6" s="1"/>
  <c r="E23" i="6" s="1"/>
  <c r="V21" i="27" l="1"/>
  <c r="U21" i="27"/>
  <c r="I22" i="27"/>
  <c r="K22" i="27"/>
  <c r="O22" i="27"/>
  <c r="M22" i="27"/>
  <c r="G22" i="27"/>
  <c r="I21" i="23"/>
  <c r="E21" i="23"/>
  <c r="F21" i="23" s="1"/>
  <c r="G21" i="23"/>
  <c r="K17" i="3"/>
  <c r="F17" i="3"/>
  <c r="J17" i="3" s="1"/>
  <c r="H16" i="19"/>
  <c r="C17" i="19" s="1"/>
  <c r="M16" i="19"/>
  <c r="K16" i="19"/>
  <c r="D18" i="18"/>
  <c r="H16" i="16"/>
  <c r="M16" i="16"/>
  <c r="K16" i="16"/>
  <c r="G17" i="15"/>
  <c r="K17" i="15" s="1"/>
  <c r="E17" i="15"/>
  <c r="L17" i="15"/>
  <c r="H17" i="15" s="1"/>
  <c r="C18" i="15" s="1"/>
  <c r="E19" i="13"/>
  <c r="F19" i="13"/>
  <c r="C18" i="2"/>
  <c r="G17" i="2"/>
  <c r="I17" i="2" s="1"/>
  <c r="F23" i="6"/>
  <c r="G23" i="6" s="1"/>
  <c r="H23" i="6" s="1"/>
  <c r="D24" i="6" s="1"/>
  <c r="H22" i="27" l="1"/>
  <c r="P22" i="27" s="1"/>
  <c r="S22" i="27" s="1"/>
  <c r="X22" i="27"/>
  <c r="Y22" i="27" s="1"/>
  <c r="H21" i="23"/>
  <c r="N21" i="23" s="1"/>
  <c r="K21" i="23"/>
  <c r="L21" i="23" s="1"/>
  <c r="J21" i="23"/>
  <c r="M21" i="23" s="1"/>
  <c r="H17" i="3"/>
  <c r="L17" i="3"/>
  <c r="M17" i="3" s="1"/>
  <c r="D18" i="3" s="1"/>
  <c r="N17" i="3"/>
  <c r="C18" i="3" s="1"/>
  <c r="I16" i="19"/>
  <c r="D17" i="19" s="1"/>
  <c r="I16" i="16"/>
  <c r="C17" i="16" s="1"/>
  <c r="F18" i="18"/>
  <c r="E18" i="18"/>
  <c r="N16" i="16"/>
  <c r="L16" i="16"/>
  <c r="M17" i="15"/>
  <c r="I17" i="15" s="1"/>
  <c r="D18" i="15" s="1"/>
  <c r="J19" i="13"/>
  <c r="H19" i="13"/>
  <c r="C20" i="13" s="1"/>
  <c r="G19" i="13"/>
  <c r="D18" i="2"/>
  <c r="I23" i="6"/>
  <c r="C24" i="6" s="1"/>
  <c r="F24" i="6" s="1"/>
  <c r="G24" i="6" s="1"/>
  <c r="H24" i="6" s="1"/>
  <c r="D25" i="6" s="1"/>
  <c r="J22" i="27" l="1"/>
  <c r="R22" i="27" s="1"/>
  <c r="C23" i="27" s="1"/>
  <c r="L22" i="27"/>
  <c r="Q22" i="27" s="1"/>
  <c r="D23" i="27" s="1"/>
  <c r="N22" i="27"/>
  <c r="T22" i="27" s="1"/>
  <c r="E23" i="27" s="1"/>
  <c r="F23" i="27"/>
  <c r="C22" i="23"/>
  <c r="D22" i="23"/>
  <c r="G18" i="3"/>
  <c r="E18" i="3"/>
  <c r="I18" i="3"/>
  <c r="F17" i="19"/>
  <c r="E17" i="19"/>
  <c r="J16" i="16"/>
  <c r="D17" i="16" s="1"/>
  <c r="G18" i="18"/>
  <c r="J18" i="18"/>
  <c r="H18" i="18" s="1"/>
  <c r="F18" i="15"/>
  <c r="E18" i="15"/>
  <c r="K19" i="13"/>
  <c r="I19" i="13"/>
  <c r="D20" i="13" s="1"/>
  <c r="E18" i="2"/>
  <c r="F18" i="2"/>
  <c r="I24" i="6"/>
  <c r="C25" i="6" s="1"/>
  <c r="E25" i="6" s="1"/>
  <c r="E24" i="6"/>
  <c r="I23" i="27" l="1"/>
  <c r="K23" i="27"/>
  <c r="O23" i="27"/>
  <c r="M23" i="27"/>
  <c r="G23" i="27"/>
  <c r="U22" i="27"/>
  <c r="V22" i="27"/>
  <c r="I22" i="23"/>
  <c r="E22" i="23"/>
  <c r="K22" i="23" s="1"/>
  <c r="G22" i="23"/>
  <c r="K18" i="3"/>
  <c r="F18" i="3"/>
  <c r="J18" i="3" s="1"/>
  <c r="G17" i="19"/>
  <c r="L17" i="19"/>
  <c r="J17" i="19"/>
  <c r="C19" i="18"/>
  <c r="K18" i="18"/>
  <c r="I18" i="18" s="1"/>
  <c r="G17" i="16"/>
  <c r="E17" i="16"/>
  <c r="F17" i="16" s="1"/>
  <c r="J18" i="15"/>
  <c r="G18" i="15"/>
  <c r="L18" i="15"/>
  <c r="E20" i="13"/>
  <c r="F20" i="13"/>
  <c r="G18" i="2"/>
  <c r="I18" i="2" s="1"/>
  <c r="D19" i="2" s="1"/>
  <c r="H18" i="2"/>
  <c r="C19" i="2" s="1"/>
  <c r="F25" i="6"/>
  <c r="G25" i="6" s="1"/>
  <c r="H25" i="6" s="1"/>
  <c r="D26" i="6" s="1"/>
  <c r="X23" i="27" l="1"/>
  <c r="Y23" i="27" s="1"/>
  <c r="H23" i="27"/>
  <c r="N23" i="27" s="1"/>
  <c r="T23" i="27" s="1"/>
  <c r="E24" i="27" s="1"/>
  <c r="F22" i="23"/>
  <c r="H22" i="23" s="1"/>
  <c r="N22" i="23" s="1"/>
  <c r="C23" i="23" s="1"/>
  <c r="L22" i="23"/>
  <c r="H18" i="3"/>
  <c r="L18" i="3"/>
  <c r="M18" i="3" s="1"/>
  <c r="D19" i="3" s="1"/>
  <c r="N18" i="3"/>
  <c r="C19" i="3" s="1"/>
  <c r="H17" i="19"/>
  <c r="C18" i="19" s="1"/>
  <c r="K17" i="19"/>
  <c r="M17" i="19"/>
  <c r="D19" i="18"/>
  <c r="H17" i="16"/>
  <c r="M17" i="16"/>
  <c r="K17" i="16"/>
  <c r="M18" i="15"/>
  <c r="K18" i="15"/>
  <c r="H18" i="15"/>
  <c r="C19" i="15" s="1"/>
  <c r="J20" i="13"/>
  <c r="H20" i="13"/>
  <c r="C21" i="13" s="1"/>
  <c r="G20" i="13"/>
  <c r="E19" i="2"/>
  <c r="I25" i="6"/>
  <c r="C26" i="6" s="1"/>
  <c r="F19" i="2"/>
  <c r="H19" i="2" s="1"/>
  <c r="P23" i="27" l="1"/>
  <c r="S23" i="27" s="1"/>
  <c r="F24" i="27" s="1"/>
  <c r="L23" i="27"/>
  <c r="Q23" i="27" s="1"/>
  <c r="D24" i="27" s="1"/>
  <c r="J23" i="27"/>
  <c r="R23" i="27" s="1"/>
  <c r="C24" i="27" s="1"/>
  <c r="J22" i="23"/>
  <c r="M22" i="23" s="1"/>
  <c r="D23" i="23" s="1"/>
  <c r="E19" i="3"/>
  <c r="G19" i="3"/>
  <c r="I19" i="3"/>
  <c r="I17" i="19"/>
  <c r="D18" i="19" s="1"/>
  <c r="E18" i="19" s="1"/>
  <c r="I17" i="16"/>
  <c r="C18" i="16" s="1"/>
  <c r="F19" i="18"/>
  <c r="E19" i="18"/>
  <c r="N17" i="16"/>
  <c r="L17" i="16"/>
  <c r="I18" i="15"/>
  <c r="D19" i="15" s="1"/>
  <c r="F19" i="15" s="1"/>
  <c r="K20" i="13"/>
  <c r="I20" i="13"/>
  <c r="D21" i="13" s="1"/>
  <c r="C20" i="2"/>
  <c r="E26" i="6"/>
  <c r="F26" i="6"/>
  <c r="G26" i="6" s="1"/>
  <c r="H26" i="6" s="1"/>
  <c r="D27" i="6" s="1"/>
  <c r="G19" i="2"/>
  <c r="I19" i="2" s="1"/>
  <c r="I24" i="27" l="1"/>
  <c r="M24" i="27"/>
  <c r="K24" i="27"/>
  <c r="O24" i="27"/>
  <c r="U23" i="27"/>
  <c r="G24" i="27"/>
  <c r="V23" i="27"/>
  <c r="I23" i="23"/>
  <c r="E23" i="23"/>
  <c r="F23" i="23" s="1"/>
  <c r="G23" i="23"/>
  <c r="F19" i="3"/>
  <c r="J19" i="3" s="1"/>
  <c r="K19" i="3"/>
  <c r="F18" i="19"/>
  <c r="J17" i="16"/>
  <c r="D18" i="16" s="1"/>
  <c r="G19" i="18"/>
  <c r="J19" i="18"/>
  <c r="H19" i="18" s="1"/>
  <c r="E19" i="15"/>
  <c r="G19" i="15"/>
  <c r="J19" i="15"/>
  <c r="L19" i="15"/>
  <c r="E21" i="13"/>
  <c r="F21" i="13"/>
  <c r="D20" i="2"/>
  <c r="I26" i="6"/>
  <c r="C27" i="6" s="1"/>
  <c r="H24" i="27" l="1"/>
  <c r="N24" i="27" s="1"/>
  <c r="T24" i="27" s="1"/>
  <c r="E25" i="27" s="1"/>
  <c r="X24" i="27"/>
  <c r="Y24" i="27" s="1"/>
  <c r="H23" i="23"/>
  <c r="N23" i="23" s="1"/>
  <c r="K23" i="23"/>
  <c r="L23" i="23" s="1"/>
  <c r="J23" i="23"/>
  <c r="M23" i="23" s="1"/>
  <c r="L19" i="3"/>
  <c r="M19" i="3" s="1"/>
  <c r="D20" i="3" s="1"/>
  <c r="N19" i="3"/>
  <c r="C20" i="3" s="1"/>
  <c r="H19" i="3"/>
  <c r="G18" i="19"/>
  <c r="J18" i="19"/>
  <c r="L18" i="19"/>
  <c r="C20" i="18"/>
  <c r="K19" i="18"/>
  <c r="I19" i="18" s="1"/>
  <c r="G18" i="16"/>
  <c r="E18" i="16"/>
  <c r="F18" i="16" s="1"/>
  <c r="H19" i="15"/>
  <c r="C20" i="15" s="1"/>
  <c r="M19" i="15"/>
  <c r="K19" i="15"/>
  <c r="J21" i="13"/>
  <c r="H21" i="13"/>
  <c r="C22" i="13" s="1"/>
  <c r="G21" i="13"/>
  <c r="E20" i="2"/>
  <c r="F27" i="6"/>
  <c r="G27" i="6" s="1"/>
  <c r="H27" i="6" s="1"/>
  <c r="D28" i="6" s="1"/>
  <c r="E27" i="6"/>
  <c r="F20" i="2"/>
  <c r="H20" i="2" s="1"/>
  <c r="J24" i="27" l="1"/>
  <c r="R24" i="27" s="1"/>
  <c r="C25" i="27" s="1"/>
  <c r="L24" i="27"/>
  <c r="Q24" i="27" s="1"/>
  <c r="P24" i="27"/>
  <c r="S24" i="27" s="1"/>
  <c r="C24" i="23"/>
  <c r="D24" i="23"/>
  <c r="I20" i="3"/>
  <c r="G20" i="3"/>
  <c r="E20" i="3"/>
  <c r="H18" i="19"/>
  <c r="C19" i="19" s="1"/>
  <c r="M18" i="19"/>
  <c r="K18" i="19"/>
  <c r="D20" i="18"/>
  <c r="H18" i="16"/>
  <c r="M18" i="16"/>
  <c r="K18" i="16"/>
  <c r="I19" i="15"/>
  <c r="D20" i="15" s="1"/>
  <c r="E20" i="15" s="1"/>
  <c r="K21" i="13"/>
  <c r="I21" i="13"/>
  <c r="D22" i="13" s="1"/>
  <c r="C21" i="2"/>
  <c r="I27" i="6"/>
  <c r="C28" i="6" s="1"/>
  <c r="G20" i="2"/>
  <c r="I20" i="2" s="1"/>
  <c r="U24" i="27" l="1"/>
  <c r="D25" i="27"/>
  <c r="F25" i="27"/>
  <c r="V24" i="27"/>
  <c r="I24" i="23"/>
  <c r="E24" i="23"/>
  <c r="K24" i="23" s="1"/>
  <c r="G24" i="23"/>
  <c r="K20" i="3"/>
  <c r="F20" i="3"/>
  <c r="J20" i="3" s="1"/>
  <c r="I18" i="19"/>
  <c r="D19" i="19" s="1"/>
  <c r="I18" i="16"/>
  <c r="C19" i="16" s="1"/>
  <c r="E20" i="18"/>
  <c r="F20" i="18"/>
  <c r="N18" i="16"/>
  <c r="L18" i="16"/>
  <c r="F20" i="15"/>
  <c r="J20" i="15" s="1"/>
  <c r="F22" i="13"/>
  <c r="E22" i="13"/>
  <c r="D21" i="2"/>
  <c r="F28" i="6"/>
  <c r="G28" i="6" s="1"/>
  <c r="H28" i="6" s="1"/>
  <c r="D29" i="6" s="1"/>
  <c r="E28" i="6"/>
  <c r="I25" i="27" l="1"/>
  <c r="K25" i="27"/>
  <c r="M25" i="27"/>
  <c r="O25" i="27"/>
  <c r="G25" i="27"/>
  <c r="F24" i="23"/>
  <c r="H24" i="23" s="1"/>
  <c r="N24" i="23" s="1"/>
  <c r="C25" i="23" s="1"/>
  <c r="L24" i="23"/>
  <c r="H20" i="3"/>
  <c r="L20" i="3"/>
  <c r="M20" i="3" s="1"/>
  <c r="D21" i="3" s="1"/>
  <c r="N20" i="3"/>
  <c r="C21" i="3" s="1"/>
  <c r="F19" i="19"/>
  <c r="E19" i="19"/>
  <c r="J18" i="16"/>
  <c r="D19" i="16" s="1"/>
  <c r="G20" i="18"/>
  <c r="J20" i="18"/>
  <c r="H20" i="18" s="1"/>
  <c r="L20" i="15"/>
  <c r="H20" i="15" s="1"/>
  <c r="C21" i="15" s="1"/>
  <c r="G20" i="15"/>
  <c r="J22" i="13"/>
  <c r="G22" i="13"/>
  <c r="H22" i="13"/>
  <c r="C23" i="13" s="1"/>
  <c r="E21" i="2"/>
  <c r="I28" i="6"/>
  <c r="C29" i="6" s="1"/>
  <c r="F21" i="2"/>
  <c r="H21" i="2" s="1"/>
  <c r="X25" i="27" l="1"/>
  <c r="Y25" i="27" s="1"/>
  <c r="H25" i="27"/>
  <c r="N25" i="27" s="1"/>
  <c r="T25" i="27" s="1"/>
  <c r="E26" i="27" s="1"/>
  <c r="J24" i="23"/>
  <c r="M24" i="23" s="1"/>
  <c r="D25" i="23" s="1"/>
  <c r="E21" i="3"/>
  <c r="G21" i="3"/>
  <c r="I21" i="3"/>
  <c r="G19" i="19"/>
  <c r="L19" i="19"/>
  <c r="J19" i="19"/>
  <c r="C21" i="18"/>
  <c r="K20" i="18"/>
  <c r="I20" i="18" s="1"/>
  <c r="G19" i="16"/>
  <c r="E19" i="16"/>
  <c r="F19" i="16" s="1"/>
  <c r="M20" i="15"/>
  <c r="K20" i="15"/>
  <c r="K22" i="13"/>
  <c r="I22" i="13"/>
  <c r="D23" i="13" s="1"/>
  <c r="C22" i="2"/>
  <c r="F29" i="6"/>
  <c r="G29" i="6" s="1"/>
  <c r="H29" i="6" s="1"/>
  <c r="D30" i="6" s="1"/>
  <c r="E29" i="6"/>
  <c r="G21" i="2"/>
  <c r="I21" i="2" s="1"/>
  <c r="P25" i="27" l="1"/>
  <c r="S25" i="27" s="1"/>
  <c r="F26" i="27" s="1"/>
  <c r="L25" i="27"/>
  <c r="Q25" i="27" s="1"/>
  <c r="D26" i="27" s="1"/>
  <c r="J25" i="27"/>
  <c r="R25" i="27" s="1"/>
  <c r="C26" i="27" s="1"/>
  <c r="G25" i="23"/>
  <c r="I25" i="23"/>
  <c r="E25" i="23"/>
  <c r="F25" i="23" s="1"/>
  <c r="K21" i="3"/>
  <c r="F21" i="3"/>
  <c r="J21" i="3" s="1"/>
  <c r="H19" i="19"/>
  <c r="C20" i="19" s="1"/>
  <c r="M19" i="19"/>
  <c r="K19" i="19"/>
  <c r="D21" i="18"/>
  <c r="H19" i="16"/>
  <c r="K19" i="16"/>
  <c r="M19" i="16"/>
  <c r="I20" i="15"/>
  <c r="D21" i="15" s="1"/>
  <c r="E21" i="15" s="1"/>
  <c r="F23" i="13"/>
  <c r="E23" i="13"/>
  <c r="D22" i="2"/>
  <c r="I29" i="6"/>
  <c r="C30" i="6" s="1"/>
  <c r="I26" i="27" l="1"/>
  <c r="M26" i="27"/>
  <c r="K26" i="27"/>
  <c r="O26" i="27"/>
  <c r="G26" i="27"/>
  <c r="V25" i="27"/>
  <c r="U25" i="27"/>
  <c r="H25" i="23"/>
  <c r="N25" i="23" s="1"/>
  <c r="C26" i="23" s="1"/>
  <c r="K25" i="23"/>
  <c r="L25" i="23" s="1"/>
  <c r="J25" i="23"/>
  <c r="M25" i="23" s="1"/>
  <c r="L21" i="3"/>
  <c r="M21" i="3" s="1"/>
  <c r="D22" i="3" s="1"/>
  <c r="N21" i="3"/>
  <c r="C22" i="3" s="1"/>
  <c r="H21" i="3"/>
  <c r="I19" i="19"/>
  <c r="D20" i="19" s="1"/>
  <c r="E20" i="19" s="1"/>
  <c r="I19" i="16"/>
  <c r="C20" i="16" s="1"/>
  <c r="F21" i="18"/>
  <c r="E21" i="18"/>
  <c r="N19" i="16"/>
  <c r="L19" i="16"/>
  <c r="F21" i="15"/>
  <c r="G21" i="15" s="1"/>
  <c r="J23" i="13"/>
  <c r="G23" i="13"/>
  <c r="H23" i="13"/>
  <c r="C24" i="13" s="1"/>
  <c r="E22" i="2"/>
  <c r="E30" i="6"/>
  <c r="F30" i="6"/>
  <c r="G30" i="6" s="1"/>
  <c r="H30" i="6" s="1"/>
  <c r="D31" i="6" s="1"/>
  <c r="F22" i="2"/>
  <c r="H22" i="2" s="1"/>
  <c r="H26" i="27" l="1"/>
  <c r="J26" i="27" s="1"/>
  <c r="R26" i="27" s="1"/>
  <c r="C27" i="27" s="1"/>
  <c r="X26" i="27"/>
  <c r="Y26" i="27" s="1"/>
  <c r="D26" i="23"/>
  <c r="G22" i="3"/>
  <c r="E22" i="3"/>
  <c r="I22" i="3"/>
  <c r="F20" i="19"/>
  <c r="J19" i="16"/>
  <c r="D20" i="16" s="1"/>
  <c r="G21" i="18"/>
  <c r="J21" i="18"/>
  <c r="H21" i="18" s="1"/>
  <c r="J21" i="15"/>
  <c r="L21" i="15"/>
  <c r="K21" i="15"/>
  <c r="M21" i="15"/>
  <c r="K23" i="13"/>
  <c r="I23" i="13"/>
  <c r="D24" i="13" s="1"/>
  <c r="C23" i="2"/>
  <c r="I30" i="6"/>
  <c r="C31" i="6" s="1"/>
  <c r="G22" i="2"/>
  <c r="I22" i="2" s="1"/>
  <c r="P26" i="27" l="1"/>
  <c r="S26" i="27" s="1"/>
  <c r="F27" i="27" s="1"/>
  <c r="N26" i="27"/>
  <c r="T26" i="27" s="1"/>
  <c r="E27" i="27" s="1"/>
  <c r="L26" i="27"/>
  <c r="Q26" i="27" s="1"/>
  <c r="I26" i="23"/>
  <c r="G26" i="23"/>
  <c r="E26" i="23"/>
  <c r="K26" i="23" s="1"/>
  <c r="K22" i="3"/>
  <c r="F22" i="3"/>
  <c r="H22" i="3" s="1"/>
  <c r="G20" i="19"/>
  <c r="J20" i="19"/>
  <c r="L20" i="19"/>
  <c r="C22" i="18"/>
  <c r="K21" i="18"/>
  <c r="I21" i="18" s="1"/>
  <c r="G20" i="16"/>
  <c r="E20" i="16"/>
  <c r="F20" i="16" s="1"/>
  <c r="H21" i="15"/>
  <c r="C22" i="15" s="1"/>
  <c r="I21" i="15"/>
  <c r="D22" i="15" s="1"/>
  <c r="E24" i="13"/>
  <c r="F24" i="13"/>
  <c r="D23" i="2"/>
  <c r="F31" i="6"/>
  <c r="G31" i="6" s="1"/>
  <c r="H31" i="6" s="1"/>
  <c r="D32" i="6" s="1"/>
  <c r="E31" i="6"/>
  <c r="V26" i="27" l="1"/>
  <c r="U26" i="27"/>
  <c r="D27" i="27"/>
  <c r="I27" i="27" s="1"/>
  <c r="F26" i="23"/>
  <c r="H26" i="23" s="1"/>
  <c r="N26" i="23" s="1"/>
  <c r="C27" i="23" s="1"/>
  <c r="L26" i="23"/>
  <c r="J22" i="3"/>
  <c r="L22" i="3"/>
  <c r="M22" i="3" s="1"/>
  <c r="D23" i="3" s="1"/>
  <c r="N22" i="3"/>
  <c r="C23" i="3" s="1"/>
  <c r="H20" i="19"/>
  <c r="C21" i="19" s="1"/>
  <c r="M20" i="19"/>
  <c r="K20" i="19"/>
  <c r="D22" i="18"/>
  <c r="H20" i="16"/>
  <c r="M20" i="16"/>
  <c r="K20" i="16"/>
  <c r="F22" i="15"/>
  <c r="E22" i="15"/>
  <c r="J24" i="13"/>
  <c r="G24" i="13"/>
  <c r="H24" i="13"/>
  <c r="C25" i="13" s="1"/>
  <c r="E23" i="2"/>
  <c r="I31" i="6"/>
  <c r="C32" i="6" s="1"/>
  <c r="E32" i="6" s="1"/>
  <c r="F23" i="2"/>
  <c r="H23" i="2" s="1"/>
  <c r="M27" i="27" l="1"/>
  <c r="K27" i="27"/>
  <c r="G27" i="27"/>
  <c r="O27" i="27"/>
  <c r="J26" i="23"/>
  <c r="M26" i="23" s="1"/>
  <c r="D27" i="23" s="1"/>
  <c r="G23" i="3"/>
  <c r="E23" i="3"/>
  <c r="I23" i="3"/>
  <c r="I20" i="19"/>
  <c r="D21" i="19" s="1"/>
  <c r="E21" i="19" s="1"/>
  <c r="I20" i="16"/>
  <c r="C21" i="16" s="1"/>
  <c r="E22" i="18"/>
  <c r="F22" i="18"/>
  <c r="N20" i="16"/>
  <c r="L20" i="16"/>
  <c r="G22" i="15"/>
  <c r="M22" i="15" s="1"/>
  <c r="J22" i="15"/>
  <c r="L22" i="15"/>
  <c r="K24" i="13"/>
  <c r="I24" i="13"/>
  <c r="D25" i="13" s="1"/>
  <c r="C24" i="2"/>
  <c r="F32" i="6"/>
  <c r="G23" i="2"/>
  <c r="I23" i="2" s="1"/>
  <c r="X27" i="27" l="1"/>
  <c r="Y27" i="27" s="1"/>
  <c r="H27" i="27"/>
  <c r="N27" i="27" s="1"/>
  <c r="T27" i="27" s="1"/>
  <c r="E28" i="27" s="1"/>
  <c r="G27" i="23"/>
  <c r="I27" i="23"/>
  <c r="E27" i="23"/>
  <c r="F27" i="23" s="1"/>
  <c r="F23" i="3"/>
  <c r="J23" i="3" s="1"/>
  <c r="K23" i="3"/>
  <c r="F21" i="19"/>
  <c r="J20" i="16"/>
  <c r="D21" i="16" s="1"/>
  <c r="G22" i="18"/>
  <c r="J22" i="18"/>
  <c r="H22" i="18" s="1"/>
  <c r="H22" i="15"/>
  <c r="C23" i="15" s="1"/>
  <c r="K22" i="15"/>
  <c r="I22" i="15" s="1"/>
  <c r="D23" i="15" s="1"/>
  <c r="E25" i="13"/>
  <c r="F25" i="13"/>
  <c r="I32" i="6"/>
  <c r="F33" i="6"/>
  <c r="D24" i="2"/>
  <c r="G32" i="6"/>
  <c r="L27" i="27" l="1"/>
  <c r="Q27" i="27" s="1"/>
  <c r="D28" i="27" s="1"/>
  <c r="J27" i="27"/>
  <c r="R27" i="27" s="1"/>
  <c r="C28" i="27" s="1"/>
  <c r="P27" i="27"/>
  <c r="S27" i="27" s="1"/>
  <c r="J27" i="23"/>
  <c r="M27" i="23" s="1"/>
  <c r="K27" i="23"/>
  <c r="L27" i="23" s="1"/>
  <c r="H27" i="23"/>
  <c r="N27" i="23" s="1"/>
  <c r="H23" i="3"/>
  <c r="L23" i="3"/>
  <c r="M23" i="3" s="1"/>
  <c r="D24" i="3" s="1"/>
  <c r="N23" i="3"/>
  <c r="C24" i="3" s="1"/>
  <c r="G21" i="19"/>
  <c r="L21" i="19"/>
  <c r="J21" i="19"/>
  <c r="C23" i="18"/>
  <c r="K22" i="18"/>
  <c r="I22" i="18" s="1"/>
  <c r="G21" i="16"/>
  <c r="E21" i="16"/>
  <c r="F21" i="16" s="1"/>
  <c r="F23" i="15"/>
  <c r="E23" i="15"/>
  <c r="J25" i="13"/>
  <c r="H25" i="13"/>
  <c r="C26" i="13" s="1"/>
  <c r="G25" i="13"/>
  <c r="H32" i="6"/>
  <c r="G33" i="6"/>
  <c r="H33" i="6" s="1"/>
  <c r="E24" i="2"/>
  <c r="F24" i="2"/>
  <c r="H24" i="2" s="1"/>
  <c r="V27" i="27" l="1"/>
  <c r="U27" i="27"/>
  <c r="F28" i="27"/>
  <c r="I28" i="27" s="1"/>
  <c r="D28" i="23"/>
  <c r="C28" i="23"/>
  <c r="I24" i="3"/>
  <c r="G24" i="3"/>
  <c r="E24" i="3"/>
  <c r="H21" i="19"/>
  <c r="C22" i="19" s="1"/>
  <c r="M21" i="19"/>
  <c r="K21" i="19"/>
  <c r="D23" i="18"/>
  <c r="H21" i="16"/>
  <c r="M21" i="16"/>
  <c r="K21" i="16"/>
  <c r="J23" i="15"/>
  <c r="G23" i="15"/>
  <c r="L23" i="15"/>
  <c r="K25" i="13"/>
  <c r="I25" i="13"/>
  <c r="D26" i="13" s="1"/>
  <c r="C25" i="2"/>
  <c r="G24" i="2"/>
  <c r="I24" i="2" s="1"/>
  <c r="K28" i="27" l="1"/>
  <c r="M28" i="27"/>
  <c r="G28" i="27"/>
  <c r="X28" i="27" s="1"/>
  <c r="Y28" i="27" s="1"/>
  <c r="O28" i="27"/>
  <c r="G28" i="23"/>
  <c r="I28" i="23"/>
  <c r="E28" i="23"/>
  <c r="F28" i="23" s="1"/>
  <c r="F24" i="3"/>
  <c r="J24" i="3" s="1"/>
  <c r="K24" i="3"/>
  <c r="I21" i="19"/>
  <c r="D22" i="19" s="1"/>
  <c r="E22" i="19" s="1"/>
  <c r="I21" i="16"/>
  <c r="C22" i="16" s="1"/>
  <c r="E23" i="18"/>
  <c r="F23" i="18"/>
  <c r="N21" i="16"/>
  <c r="L21" i="16"/>
  <c r="M23" i="15"/>
  <c r="H23" i="15"/>
  <c r="C24" i="15" s="1"/>
  <c r="K23" i="15"/>
  <c r="E26" i="13"/>
  <c r="F26" i="13"/>
  <c r="D25" i="2"/>
  <c r="H28" i="27" l="1"/>
  <c r="N28" i="27" s="1"/>
  <c r="T28" i="27" s="1"/>
  <c r="E29" i="27" s="1"/>
  <c r="H28" i="23"/>
  <c r="N28" i="23" s="1"/>
  <c r="K28" i="23"/>
  <c r="L28" i="23" s="1"/>
  <c r="J28" i="23"/>
  <c r="M28" i="23" s="1"/>
  <c r="H24" i="3"/>
  <c r="L24" i="3"/>
  <c r="M24" i="3" s="1"/>
  <c r="D25" i="3" s="1"/>
  <c r="N24" i="3"/>
  <c r="C25" i="3" s="1"/>
  <c r="F22" i="19"/>
  <c r="J21" i="16"/>
  <c r="D22" i="16" s="1"/>
  <c r="G23" i="18"/>
  <c r="J23" i="18"/>
  <c r="H23" i="18" s="1"/>
  <c r="I23" i="15"/>
  <c r="D24" i="15" s="1"/>
  <c r="E24" i="15" s="1"/>
  <c r="J26" i="13"/>
  <c r="H26" i="13"/>
  <c r="C27" i="13" s="1"/>
  <c r="G26" i="13"/>
  <c r="E25" i="2"/>
  <c r="F25" i="2"/>
  <c r="H25" i="2" s="1"/>
  <c r="J28" i="27" l="1"/>
  <c r="R28" i="27" s="1"/>
  <c r="C29" i="27" s="1"/>
  <c r="P28" i="27"/>
  <c r="S28" i="27" s="1"/>
  <c r="F29" i="27" s="1"/>
  <c r="L28" i="27"/>
  <c r="Q28" i="27" s="1"/>
  <c r="D29" i="27" s="1"/>
  <c r="C29" i="23"/>
  <c r="D29" i="23"/>
  <c r="I25" i="3"/>
  <c r="G25" i="3"/>
  <c r="E25" i="3"/>
  <c r="G22" i="19"/>
  <c r="J22" i="19"/>
  <c r="L22" i="19"/>
  <c r="E22" i="16"/>
  <c r="F22" i="16" s="1"/>
  <c r="C24" i="18"/>
  <c r="K23" i="18"/>
  <c r="I23" i="18" s="1"/>
  <c r="G22" i="16"/>
  <c r="F24" i="15"/>
  <c r="K26" i="13"/>
  <c r="I26" i="13"/>
  <c r="D27" i="13" s="1"/>
  <c r="C26" i="2"/>
  <c r="G25" i="2"/>
  <c r="I25" i="2" s="1"/>
  <c r="V28" i="27" l="1"/>
  <c r="U28" i="27"/>
  <c r="K29" i="27"/>
  <c r="I29" i="27"/>
  <c r="M29" i="27"/>
  <c r="G29" i="27"/>
  <c r="X29" i="27" s="1"/>
  <c r="Y29" i="27" s="1"/>
  <c r="O29" i="27"/>
  <c r="I29" i="23"/>
  <c r="E29" i="23"/>
  <c r="F29" i="23" s="1"/>
  <c r="G29" i="23"/>
  <c r="F25" i="3"/>
  <c r="K25" i="3"/>
  <c r="H22" i="19"/>
  <c r="C23" i="19" s="1"/>
  <c r="M22" i="19"/>
  <c r="K22" i="19"/>
  <c r="D24" i="18"/>
  <c r="H22" i="16"/>
  <c r="K22" i="16"/>
  <c r="M22" i="16"/>
  <c r="L24" i="15"/>
  <c r="G24" i="15"/>
  <c r="M24" i="15" s="1"/>
  <c r="J24" i="15"/>
  <c r="E27" i="13"/>
  <c r="F27" i="13"/>
  <c r="D26" i="2"/>
  <c r="H29" i="27" l="1"/>
  <c r="N29" i="27" s="1"/>
  <c r="T29" i="27" s="1"/>
  <c r="E30" i="27" s="1"/>
  <c r="H29" i="23"/>
  <c r="N29" i="23" s="1"/>
  <c r="K29" i="23"/>
  <c r="L29" i="23" s="1"/>
  <c r="J29" i="23"/>
  <c r="M29" i="23" s="1"/>
  <c r="H25" i="3"/>
  <c r="J25" i="3"/>
  <c r="L25" i="3"/>
  <c r="M25" i="3" s="1"/>
  <c r="D26" i="3" s="1"/>
  <c r="N25" i="3"/>
  <c r="C26" i="3" s="1"/>
  <c r="I22" i="19"/>
  <c r="D23" i="19" s="1"/>
  <c r="E23" i="19" s="1"/>
  <c r="I22" i="16"/>
  <c r="C23" i="16" s="1"/>
  <c r="E24" i="18"/>
  <c r="F24" i="18"/>
  <c r="L22" i="16"/>
  <c r="N22" i="16"/>
  <c r="K24" i="15"/>
  <c r="I24" i="15" s="1"/>
  <c r="D25" i="15" s="1"/>
  <c r="H24" i="15"/>
  <c r="C25" i="15" s="1"/>
  <c r="J27" i="13"/>
  <c r="G27" i="13"/>
  <c r="H27" i="13"/>
  <c r="C28" i="13" s="1"/>
  <c r="E26" i="2"/>
  <c r="F26" i="2"/>
  <c r="H26" i="2" s="1"/>
  <c r="P29" i="27" l="1"/>
  <c r="S29" i="27" s="1"/>
  <c r="F30" i="27" s="1"/>
  <c r="J29" i="27"/>
  <c r="R29" i="27" s="1"/>
  <c r="C30" i="27" s="1"/>
  <c r="L29" i="27"/>
  <c r="Q29" i="27" s="1"/>
  <c r="D30" i="27" s="1"/>
  <c r="C30" i="23"/>
  <c r="D30" i="23"/>
  <c r="G26" i="3"/>
  <c r="E26" i="3"/>
  <c r="I26" i="3"/>
  <c r="F23" i="19"/>
  <c r="J22" i="16"/>
  <c r="D23" i="16" s="1"/>
  <c r="G24" i="18"/>
  <c r="J24" i="18"/>
  <c r="H24" i="18" s="1"/>
  <c r="E25" i="15"/>
  <c r="F25" i="15"/>
  <c r="K27" i="13"/>
  <c r="I27" i="13"/>
  <c r="D28" i="13" s="1"/>
  <c r="C27" i="2"/>
  <c r="G26" i="2"/>
  <c r="I26" i="2" s="1"/>
  <c r="V29" i="27" l="1"/>
  <c r="I30" i="27"/>
  <c r="U29" i="27"/>
  <c r="O30" i="27"/>
  <c r="K30" i="27"/>
  <c r="M30" i="27"/>
  <c r="G30" i="27"/>
  <c r="H30" i="27" s="1"/>
  <c r="I30" i="23"/>
  <c r="E30" i="23"/>
  <c r="K30" i="23" s="1"/>
  <c r="G30" i="23"/>
  <c r="K26" i="3"/>
  <c r="F26" i="3"/>
  <c r="H26" i="3" s="1"/>
  <c r="G23" i="19"/>
  <c r="L23" i="19"/>
  <c r="J23" i="19"/>
  <c r="C25" i="18"/>
  <c r="K24" i="18"/>
  <c r="I24" i="18" s="1"/>
  <c r="G23" i="16"/>
  <c r="E23" i="16"/>
  <c r="F23" i="16" s="1"/>
  <c r="J25" i="15"/>
  <c r="L25" i="15"/>
  <c r="G25" i="15"/>
  <c r="M25" i="15" s="1"/>
  <c r="F28" i="13"/>
  <c r="E28" i="13"/>
  <c r="D27" i="2"/>
  <c r="N30" i="27" l="1"/>
  <c r="T30" i="27" s="1"/>
  <c r="E31" i="27" s="1"/>
  <c r="P30" i="27"/>
  <c r="S30" i="27" s="1"/>
  <c r="F31" i="27" s="1"/>
  <c r="X30" i="27"/>
  <c r="Y30" i="27" s="1"/>
  <c r="L30" i="27"/>
  <c r="Q30" i="27" s="1"/>
  <c r="J30" i="27"/>
  <c r="R30" i="27" s="1"/>
  <c r="C31" i="27" s="1"/>
  <c r="F30" i="23"/>
  <c r="H30" i="23" s="1"/>
  <c r="N30" i="23" s="1"/>
  <c r="C31" i="23" s="1"/>
  <c r="L30" i="23"/>
  <c r="J26" i="3"/>
  <c r="L26" i="3"/>
  <c r="M26" i="3" s="1"/>
  <c r="D27" i="3" s="1"/>
  <c r="N26" i="3"/>
  <c r="C27" i="3" s="1"/>
  <c r="M23" i="19"/>
  <c r="K23" i="19"/>
  <c r="H23" i="19"/>
  <c r="C24" i="19" s="1"/>
  <c r="D25" i="18"/>
  <c r="H23" i="16"/>
  <c r="M23" i="16"/>
  <c r="K23" i="16"/>
  <c r="H25" i="15"/>
  <c r="C26" i="15" s="1"/>
  <c r="K25" i="15"/>
  <c r="I25" i="15" s="1"/>
  <c r="D26" i="15" s="1"/>
  <c r="J28" i="13"/>
  <c r="G28" i="13"/>
  <c r="H28" i="13"/>
  <c r="C29" i="13" s="1"/>
  <c r="E27" i="2"/>
  <c r="F27" i="2"/>
  <c r="H27" i="2" s="1"/>
  <c r="V30" i="27" l="1"/>
  <c r="U30" i="27"/>
  <c r="D31" i="27"/>
  <c r="I31" i="27" s="1"/>
  <c r="J30" i="23"/>
  <c r="M30" i="23" s="1"/>
  <c r="D31" i="23" s="1"/>
  <c r="I27" i="3"/>
  <c r="G27" i="3"/>
  <c r="E27" i="3"/>
  <c r="I23" i="19"/>
  <c r="D24" i="19" s="1"/>
  <c r="I23" i="16"/>
  <c r="C24" i="16" s="1"/>
  <c r="F25" i="18"/>
  <c r="E25" i="18"/>
  <c r="N23" i="16"/>
  <c r="L23" i="16"/>
  <c r="F26" i="15"/>
  <c r="E26" i="15"/>
  <c r="K28" i="13"/>
  <c r="I28" i="13"/>
  <c r="D29" i="13" s="1"/>
  <c r="C28" i="2"/>
  <c r="G27" i="2"/>
  <c r="I27" i="2" s="1"/>
  <c r="M31" i="27" l="1"/>
  <c r="K31" i="27"/>
  <c r="G31" i="27"/>
  <c r="O31" i="27"/>
  <c r="I31" i="23"/>
  <c r="E31" i="23"/>
  <c r="K31" i="23" s="1"/>
  <c r="G31" i="23"/>
  <c r="K27" i="3"/>
  <c r="F27" i="3"/>
  <c r="J27" i="3" s="1"/>
  <c r="F24" i="19"/>
  <c r="E24" i="19"/>
  <c r="J23" i="16"/>
  <c r="D24" i="16" s="1"/>
  <c r="G25" i="18"/>
  <c r="J25" i="18"/>
  <c r="H25" i="18" s="1"/>
  <c r="G26" i="15"/>
  <c r="L26" i="15"/>
  <c r="J26" i="15"/>
  <c r="F29" i="13"/>
  <c r="E29" i="13"/>
  <c r="D28" i="2"/>
  <c r="X31" i="27" l="1"/>
  <c r="Y31" i="27" s="1"/>
  <c r="H31" i="27"/>
  <c r="N31" i="27" s="1"/>
  <c r="T31" i="27" s="1"/>
  <c r="E32" i="27" s="1"/>
  <c r="F31" i="23"/>
  <c r="H31" i="23" s="1"/>
  <c r="N31" i="23" s="1"/>
  <c r="C32" i="23" s="1"/>
  <c r="L31" i="23"/>
  <c r="L27" i="3"/>
  <c r="M27" i="3" s="1"/>
  <c r="D28" i="3" s="1"/>
  <c r="N27" i="3"/>
  <c r="C28" i="3" s="1"/>
  <c r="H27" i="3"/>
  <c r="G24" i="19"/>
  <c r="L24" i="19"/>
  <c r="J24" i="19"/>
  <c r="C26" i="18"/>
  <c r="K25" i="18"/>
  <c r="I25" i="18" s="1"/>
  <c r="G24" i="16"/>
  <c r="E24" i="16"/>
  <c r="F24" i="16" s="1"/>
  <c r="M26" i="15"/>
  <c r="K26" i="15"/>
  <c r="H26" i="15"/>
  <c r="C27" i="15" s="1"/>
  <c r="J29" i="13"/>
  <c r="G29" i="13"/>
  <c r="H29" i="13"/>
  <c r="C30" i="13" s="1"/>
  <c r="E28" i="2"/>
  <c r="F28" i="2"/>
  <c r="H28" i="2" s="1"/>
  <c r="J31" i="27" l="1"/>
  <c r="R31" i="27" s="1"/>
  <c r="C32" i="27" s="1"/>
  <c r="L31" i="27"/>
  <c r="Q31" i="27" s="1"/>
  <c r="P31" i="27"/>
  <c r="S31" i="27" s="1"/>
  <c r="J31" i="23"/>
  <c r="M31" i="23" s="1"/>
  <c r="D32" i="23" s="1"/>
  <c r="G28" i="3"/>
  <c r="E28" i="3"/>
  <c r="I28" i="3"/>
  <c r="H24" i="19"/>
  <c r="C25" i="19" s="1"/>
  <c r="M24" i="19"/>
  <c r="K24" i="19"/>
  <c r="D26" i="18"/>
  <c r="H24" i="16"/>
  <c r="M24" i="16"/>
  <c r="K24" i="16"/>
  <c r="I26" i="15"/>
  <c r="D27" i="15" s="1"/>
  <c r="E27" i="15" s="1"/>
  <c r="K29" i="13"/>
  <c r="I29" i="13"/>
  <c r="D30" i="13" s="1"/>
  <c r="C29" i="2"/>
  <c r="G28" i="2"/>
  <c r="I28" i="2" s="1"/>
  <c r="V31" i="27" l="1"/>
  <c r="F32" i="27"/>
  <c r="D32" i="27"/>
  <c r="U31" i="27"/>
  <c r="I32" i="23"/>
  <c r="G32" i="23"/>
  <c r="E32" i="23"/>
  <c r="K32" i="23" s="1"/>
  <c r="K28" i="3"/>
  <c r="F28" i="3"/>
  <c r="J28" i="3" s="1"/>
  <c r="I24" i="19"/>
  <c r="D25" i="19" s="1"/>
  <c r="I24" i="16"/>
  <c r="C25" i="16" s="1"/>
  <c r="F26" i="18"/>
  <c r="E26" i="18"/>
  <c r="N24" i="16"/>
  <c r="L24" i="16"/>
  <c r="F27" i="15"/>
  <c r="G27" i="15" s="1"/>
  <c r="M27" i="15" s="1"/>
  <c r="F30" i="13"/>
  <c r="E30" i="13"/>
  <c r="D29" i="2"/>
  <c r="I32" i="27" l="1"/>
  <c r="M32" i="27"/>
  <c r="K32" i="27"/>
  <c r="G32" i="27"/>
  <c r="O32" i="27"/>
  <c r="F32" i="23"/>
  <c r="J32" i="23" s="1"/>
  <c r="M32" i="23" s="1"/>
  <c r="L32" i="23"/>
  <c r="H28" i="3"/>
  <c r="L28" i="3"/>
  <c r="M28" i="3" s="1"/>
  <c r="D29" i="3" s="1"/>
  <c r="N28" i="3"/>
  <c r="C29" i="3" s="1"/>
  <c r="F25" i="19"/>
  <c r="E25" i="19"/>
  <c r="J24" i="16"/>
  <c r="D25" i="16" s="1"/>
  <c r="G26" i="18"/>
  <c r="J26" i="18"/>
  <c r="H26" i="18" s="1"/>
  <c r="J27" i="15"/>
  <c r="K27" i="15"/>
  <c r="I27" i="15" s="1"/>
  <c r="D28" i="15" s="1"/>
  <c r="L27" i="15"/>
  <c r="J30" i="13"/>
  <c r="H30" i="13"/>
  <c r="C31" i="13" s="1"/>
  <c r="G30" i="13"/>
  <c r="E29" i="2"/>
  <c r="F29" i="2"/>
  <c r="H29" i="2" s="1"/>
  <c r="H32" i="27" l="1"/>
  <c r="N32" i="27" s="1"/>
  <c r="T32" i="27" s="1"/>
  <c r="E33" i="27" s="1"/>
  <c r="X32" i="27"/>
  <c r="Y32" i="27" s="1"/>
  <c r="H32" i="23"/>
  <c r="N32" i="23" s="1"/>
  <c r="C33" i="23" s="1"/>
  <c r="D33" i="23"/>
  <c r="G29" i="3"/>
  <c r="E29" i="3"/>
  <c r="I29" i="3"/>
  <c r="G25" i="19"/>
  <c r="J25" i="19"/>
  <c r="L25" i="19"/>
  <c r="C27" i="18"/>
  <c r="K26" i="18"/>
  <c r="I26" i="18" s="1"/>
  <c r="G25" i="16"/>
  <c r="E25" i="16"/>
  <c r="F25" i="16" s="1"/>
  <c r="H27" i="15"/>
  <c r="C28" i="15" s="1"/>
  <c r="F28" i="15" s="1"/>
  <c r="K30" i="13"/>
  <c r="I30" i="13"/>
  <c r="D31" i="13" s="1"/>
  <c r="C30" i="2"/>
  <c r="G29" i="2"/>
  <c r="I29" i="2" s="1"/>
  <c r="P32" i="27" l="1"/>
  <c r="S32" i="27" s="1"/>
  <c r="F33" i="27" s="1"/>
  <c r="L32" i="27"/>
  <c r="Q32" i="27" s="1"/>
  <c r="J32" i="27"/>
  <c r="R32" i="27" s="1"/>
  <c r="C33" i="27" s="1"/>
  <c r="I33" i="23"/>
  <c r="E33" i="23"/>
  <c r="F33" i="23" s="1"/>
  <c r="F34" i="23" s="1"/>
  <c r="G33" i="23"/>
  <c r="F29" i="3"/>
  <c r="H29" i="3" s="1"/>
  <c r="K29" i="3"/>
  <c r="H25" i="19"/>
  <c r="C26" i="19" s="1"/>
  <c r="M25" i="19"/>
  <c r="K25" i="19"/>
  <c r="D27" i="18"/>
  <c r="H25" i="16"/>
  <c r="K25" i="16"/>
  <c r="M25" i="16"/>
  <c r="L28" i="15"/>
  <c r="G28" i="15"/>
  <c r="J28" i="15"/>
  <c r="E28" i="15"/>
  <c r="F31" i="13"/>
  <c r="E31" i="13"/>
  <c r="D30" i="2"/>
  <c r="U32" i="27" l="1"/>
  <c r="D33" i="27"/>
  <c r="I33" i="27" s="1"/>
  <c r="V32" i="27"/>
  <c r="K33" i="23"/>
  <c r="L33" i="23" s="1"/>
  <c r="J33" i="23"/>
  <c r="M33" i="23" s="1"/>
  <c r="H33" i="23"/>
  <c r="N33" i="23" s="1"/>
  <c r="J29" i="3"/>
  <c r="L29" i="3"/>
  <c r="M29" i="3" s="1"/>
  <c r="D30" i="3" s="1"/>
  <c r="N29" i="3"/>
  <c r="C30" i="3" s="1"/>
  <c r="I25" i="19"/>
  <c r="D26" i="19" s="1"/>
  <c r="I25" i="16"/>
  <c r="C26" i="16" s="1"/>
  <c r="E27" i="18"/>
  <c r="F27" i="18"/>
  <c r="L25" i="16"/>
  <c r="N25" i="16"/>
  <c r="K28" i="15"/>
  <c r="M28" i="15"/>
  <c r="H28" i="15"/>
  <c r="C29" i="15" s="1"/>
  <c r="J31" i="13"/>
  <c r="G31" i="13"/>
  <c r="H31" i="13"/>
  <c r="C32" i="13" s="1"/>
  <c r="E30" i="2"/>
  <c r="F30" i="2"/>
  <c r="H30" i="2" s="1"/>
  <c r="M33" i="27" l="1"/>
  <c r="K33" i="27"/>
  <c r="G33" i="27"/>
  <c r="O33" i="27"/>
  <c r="K34" i="23"/>
  <c r="L34" i="23"/>
  <c r="G30" i="3"/>
  <c r="E30" i="3"/>
  <c r="I30" i="3"/>
  <c r="F26" i="19"/>
  <c r="E26" i="19"/>
  <c r="J25" i="16"/>
  <c r="D26" i="16" s="1"/>
  <c r="G27" i="18"/>
  <c r="J27" i="18"/>
  <c r="H27" i="18" s="1"/>
  <c r="I28" i="15"/>
  <c r="D29" i="15" s="1"/>
  <c r="F29" i="15" s="1"/>
  <c r="K31" i="13"/>
  <c r="I31" i="13"/>
  <c r="D32" i="13" s="1"/>
  <c r="E32" i="13" s="1"/>
  <c r="C31" i="2"/>
  <c r="G30" i="2"/>
  <c r="I30" i="2" s="1"/>
  <c r="X33" i="27" l="1"/>
  <c r="Y33" i="27" s="1"/>
  <c r="H33" i="27"/>
  <c r="J33" i="27" s="1"/>
  <c r="R33" i="27" s="1"/>
  <c r="C34" i="27" s="1"/>
  <c r="K30" i="3"/>
  <c r="F30" i="3"/>
  <c r="J30" i="3" s="1"/>
  <c r="G26" i="19"/>
  <c r="J26" i="19"/>
  <c r="L26" i="19"/>
  <c r="C28" i="18"/>
  <c r="K27" i="18"/>
  <c r="I27" i="18" s="1"/>
  <c r="G26" i="16"/>
  <c r="E26" i="16"/>
  <c r="F26" i="16" s="1"/>
  <c r="E29" i="15"/>
  <c r="J29" i="15"/>
  <c r="L29" i="15"/>
  <c r="G29" i="15"/>
  <c r="K29" i="15" s="1"/>
  <c r="F32" i="13"/>
  <c r="D31" i="2"/>
  <c r="N33" i="27" l="1"/>
  <c r="T33" i="27" s="1"/>
  <c r="E34" i="27" s="1"/>
  <c r="P33" i="27"/>
  <c r="S33" i="27" s="1"/>
  <c r="L33" i="27"/>
  <c r="Q33" i="27" s="1"/>
  <c r="H30" i="3"/>
  <c r="L30" i="3"/>
  <c r="M30" i="3" s="1"/>
  <c r="D31" i="3" s="1"/>
  <c r="N30" i="3"/>
  <c r="C31" i="3" s="1"/>
  <c r="H26" i="19"/>
  <c r="C27" i="19" s="1"/>
  <c r="M26" i="19"/>
  <c r="K26" i="19"/>
  <c r="D28" i="18"/>
  <c r="H29" i="15"/>
  <c r="C30" i="15" s="1"/>
  <c r="H26" i="16"/>
  <c r="M26" i="16"/>
  <c r="K26" i="16"/>
  <c r="M29" i="15"/>
  <c r="I29" i="15" s="1"/>
  <c r="D30" i="15" s="1"/>
  <c r="J32" i="13"/>
  <c r="G32" i="13"/>
  <c r="H32" i="13"/>
  <c r="E31" i="2"/>
  <c r="F31" i="2"/>
  <c r="H31" i="2" s="1"/>
  <c r="D34" i="27" l="1"/>
  <c r="U33" i="27"/>
  <c r="V33" i="27"/>
  <c r="F34" i="27"/>
  <c r="G31" i="3"/>
  <c r="E31" i="3"/>
  <c r="I31" i="3"/>
  <c r="I26" i="19"/>
  <c r="D27" i="19" s="1"/>
  <c r="E27" i="19" s="1"/>
  <c r="I26" i="16"/>
  <c r="C27" i="16" s="1"/>
  <c r="E28" i="18"/>
  <c r="F28" i="18"/>
  <c r="N26" i="16"/>
  <c r="L26" i="16"/>
  <c r="F30" i="15"/>
  <c r="E30" i="15"/>
  <c r="K32" i="13"/>
  <c r="I32" i="13"/>
  <c r="C32" i="2"/>
  <c r="G31" i="2"/>
  <c r="I31" i="2" s="1"/>
  <c r="K34" i="27" l="1"/>
  <c r="I34" i="27"/>
  <c r="O34" i="27"/>
  <c r="M34" i="27"/>
  <c r="G34" i="27"/>
  <c r="K31" i="3"/>
  <c r="F31" i="3"/>
  <c r="H31" i="3" s="1"/>
  <c r="F27" i="19"/>
  <c r="J26" i="16"/>
  <c r="D27" i="16" s="1"/>
  <c r="G28" i="18"/>
  <c r="J28" i="18"/>
  <c r="H28" i="18" s="1"/>
  <c r="J30" i="15"/>
  <c r="G30" i="15"/>
  <c r="L30" i="15"/>
  <c r="D32" i="2"/>
  <c r="H34" i="27" l="1"/>
  <c r="J34" i="27" s="1"/>
  <c r="R34" i="27" s="1"/>
  <c r="C35" i="27" s="1"/>
  <c r="X34" i="27"/>
  <c r="Y34" i="27" s="1"/>
  <c r="J31" i="3"/>
  <c r="L31" i="3"/>
  <c r="M31" i="3" s="1"/>
  <c r="D32" i="3" s="1"/>
  <c r="N31" i="3"/>
  <c r="C32" i="3" s="1"/>
  <c r="G27" i="19"/>
  <c r="J27" i="19"/>
  <c r="L27" i="19"/>
  <c r="E27" i="16"/>
  <c r="F27" i="16" s="1"/>
  <c r="C29" i="18"/>
  <c r="K28" i="18"/>
  <c r="I28" i="18" s="1"/>
  <c r="G27" i="16"/>
  <c r="M30" i="15"/>
  <c r="K30" i="15"/>
  <c r="H30" i="15"/>
  <c r="C31" i="15" s="1"/>
  <c r="E32" i="2"/>
  <c r="F32" i="2"/>
  <c r="N34" i="27" l="1"/>
  <c r="T34" i="27" s="1"/>
  <c r="E35" i="27" s="1"/>
  <c r="P34" i="27"/>
  <c r="S34" i="27" s="1"/>
  <c r="L34" i="27"/>
  <c r="Q34" i="27" s="1"/>
  <c r="I32" i="3"/>
  <c r="G32" i="3"/>
  <c r="E32" i="3"/>
  <c r="H32" i="2"/>
  <c r="F33" i="2"/>
  <c r="H27" i="19"/>
  <c r="C28" i="19" s="1"/>
  <c r="M27" i="19"/>
  <c r="K27" i="19"/>
  <c r="D29" i="18"/>
  <c r="H27" i="16"/>
  <c r="K27" i="16"/>
  <c r="M27" i="16"/>
  <c r="I30" i="15"/>
  <c r="D31" i="15" s="1"/>
  <c r="G32" i="2"/>
  <c r="I32" i="2" s="1"/>
  <c r="V34" i="27" l="1"/>
  <c r="F35" i="27"/>
  <c r="U34" i="27"/>
  <c r="D35" i="27"/>
  <c r="F32" i="3"/>
  <c r="H32" i="3" s="1"/>
  <c r="K32" i="3"/>
  <c r="I27" i="19"/>
  <c r="D28" i="19" s="1"/>
  <c r="E28" i="19" s="1"/>
  <c r="I27" i="16"/>
  <c r="C28" i="16" s="1"/>
  <c r="E29" i="18"/>
  <c r="F29" i="18"/>
  <c r="N27" i="16"/>
  <c r="L27" i="16"/>
  <c r="E31" i="15"/>
  <c r="F31" i="15"/>
  <c r="G33" i="2"/>
  <c r="I35" i="27" l="1"/>
  <c r="K35" i="27"/>
  <c r="O35" i="27"/>
  <c r="M35" i="27"/>
  <c r="G35" i="27"/>
  <c r="L32" i="3"/>
  <c r="K33" i="3"/>
  <c r="N32" i="3"/>
  <c r="J32" i="3"/>
  <c r="F33" i="3"/>
  <c r="F28" i="19"/>
  <c r="J27" i="16"/>
  <c r="D28" i="16" s="1"/>
  <c r="G29" i="18"/>
  <c r="J29" i="18"/>
  <c r="H29" i="18" s="1"/>
  <c r="G31" i="15"/>
  <c r="L31" i="15"/>
  <c r="J31" i="15"/>
  <c r="X35" i="27" l="1"/>
  <c r="H35" i="27"/>
  <c r="H36" i="27" s="1"/>
  <c r="M32" i="3"/>
  <c r="L33" i="3"/>
  <c r="G28" i="19"/>
  <c r="J28" i="19"/>
  <c r="L28" i="19"/>
  <c r="C30" i="18"/>
  <c r="K29" i="18"/>
  <c r="I29" i="18" s="1"/>
  <c r="G28" i="16"/>
  <c r="E28" i="16"/>
  <c r="F28" i="16" s="1"/>
  <c r="H31" i="15"/>
  <c r="C32" i="15" s="1"/>
  <c r="K31" i="15"/>
  <c r="M31" i="15"/>
  <c r="Y35" i="27" l="1"/>
  <c r="Y36" i="27" s="1"/>
  <c r="X36" i="27"/>
  <c r="P35" i="27"/>
  <c r="S35" i="27" s="1"/>
  <c r="L35" i="27"/>
  <c r="Q35" i="27" s="1"/>
  <c r="N35" i="27"/>
  <c r="T35" i="27" s="1"/>
  <c r="J35" i="27"/>
  <c r="R35" i="27" s="1"/>
  <c r="H28" i="19"/>
  <c r="C29" i="19" s="1"/>
  <c r="M28" i="19"/>
  <c r="K28" i="19"/>
  <c r="D30" i="18"/>
  <c r="H28" i="16"/>
  <c r="M28" i="16"/>
  <c r="K28" i="16"/>
  <c r="I31" i="15"/>
  <c r="D32" i="15" s="1"/>
  <c r="F32" i="15" s="1"/>
  <c r="J32" i="15" s="1"/>
  <c r="U35" i="27" l="1"/>
  <c r="V35" i="27"/>
  <c r="I28" i="19"/>
  <c r="D29" i="19" s="1"/>
  <c r="E29" i="19" s="1"/>
  <c r="I28" i="16"/>
  <c r="C29" i="16" s="1"/>
  <c r="F30" i="18"/>
  <c r="E30" i="18"/>
  <c r="N28" i="16"/>
  <c r="L28" i="16"/>
  <c r="E32" i="15"/>
  <c r="G32" i="15"/>
  <c r="K32" i="15" s="1"/>
  <c r="L32" i="15"/>
  <c r="H32" i="15" s="1"/>
  <c r="F29" i="19" l="1"/>
  <c r="J28" i="16"/>
  <c r="D29" i="16" s="1"/>
  <c r="G30" i="18"/>
  <c r="J30" i="18"/>
  <c r="H30" i="18" s="1"/>
  <c r="M32" i="15"/>
  <c r="I32" i="15" s="1"/>
  <c r="G29" i="19" l="1"/>
  <c r="J29" i="19"/>
  <c r="L29" i="19"/>
  <c r="C31" i="18"/>
  <c r="K30" i="18"/>
  <c r="I30" i="18" s="1"/>
  <c r="G29" i="16"/>
  <c r="E29" i="16"/>
  <c r="F29" i="16" s="1"/>
  <c r="H29" i="19" l="1"/>
  <c r="C30" i="19" s="1"/>
  <c r="M29" i="19"/>
  <c r="K29" i="19"/>
  <c r="D31" i="18"/>
  <c r="H29" i="16"/>
  <c r="K29" i="16"/>
  <c r="M29" i="16"/>
  <c r="I29" i="19" l="1"/>
  <c r="D30" i="19" s="1"/>
  <c r="E30" i="19" s="1"/>
  <c r="I29" i="16"/>
  <c r="C30" i="16" s="1"/>
  <c r="E31" i="18"/>
  <c r="F31" i="18"/>
  <c r="L29" i="16"/>
  <c r="N29" i="16"/>
  <c r="F30" i="19" l="1"/>
  <c r="J29" i="16"/>
  <c r="D30" i="16" s="1"/>
  <c r="G31" i="18"/>
  <c r="J31" i="18"/>
  <c r="H31" i="18" s="1"/>
  <c r="G30" i="19" l="1"/>
  <c r="L30" i="19"/>
  <c r="J30" i="19"/>
  <c r="C32" i="18"/>
  <c r="K31" i="18"/>
  <c r="I31" i="18" s="1"/>
  <c r="G30" i="16"/>
  <c r="E30" i="16"/>
  <c r="F30" i="16" s="1"/>
  <c r="H30" i="19" l="1"/>
  <c r="C31" i="19" s="1"/>
  <c r="M30" i="19"/>
  <c r="K30" i="19"/>
  <c r="D32" i="18"/>
  <c r="H30" i="16"/>
  <c r="M30" i="16"/>
  <c r="K30" i="16"/>
  <c r="I30" i="19" l="1"/>
  <c r="D31" i="19" s="1"/>
  <c r="E31" i="19" s="1"/>
  <c r="I30" i="16"/>
  <c r="C31" i="16" s="1"/>
  <c r="E32" i="18"/>
  <c r="F32" i="18"/>
  <c r="N30" i="16"/>
  <c r="L30" i="16"/>
  <c r="F31" i="19" l="1"/>
  <c r="J30" i="16"/>
  <c r="D31" i="16" s="1"/>
  <c r="G32" i="18"/>
  <c r="J32" i="18"/>
  <c r="H32" i="18" s="1"/>
  <c r="G31" i="19" l="1"/>
  <c r="J31" i="19"/>
  <c r="L31" i="19"/>
  <c r="C33" i="18"/>
  <c r="K32" i="18"/>
  <c r="I32" i="18" s="1"/>
  <c r="G31" i="16"/>
  <c r="E31" i="16"/>
  <c r="F31" i="16" s="1"/>
  <c r="H31" i="19" l="1"/>
  <c r="C32" i="19" s="1"/>
  <c r="M31" i="19"/>
  <c r="K31" i="19"/>
  <c r="D33" i="18"/>
  <c r="H31" i="16"/>
  <c r="M31" i="16"/>
  <c r="K31" i="16"/>
  <c r="I31" i="19" l="1"/>
  <c r="D32" i="19" s="1"/>
  <c r="E32" i="19" s="1"/>
  <c r="I31" i="16"/>
  <c r="C32" i="16" s="1"/>
  <c r="F33" i="18"/>
  <c r="E33" i="18"/>
  <c r="N31" i="16"/>
  <c r="L31" i="16"/>
  <c r="F32" i="19" l="1"/>
  <c r="F33" i="19" s="1"/>
  <c r="J31" i="16"/>
  <c r="D32" i="16" s="1"/>
  <c r="G33" i="18"/>
  <c r="J33" i="18"/>
  <c r="H33" i="18" s="1"/>
  <c r="G32" i="19" l="1"/>
  <c r="G33" i="19" s="1"/>
  <c r="J32" i="19"/>
  <c r="L32" i="19"/>
  <c r="E32" i="16"/>
  <c r="F32" i="16" s="1"/>
  <c r="F33" i="16" s="1"/>
  <c r="K33" i="18"/>
  <c r="I33" i="18" s="1"/>
  <c r="G32" i="16"/>
  <c r="N34" i="19" l="1"/>
  <c r="H32" i="19"/>
  <c r="M32" i="19"/>
  <c r="K32" i="19"/>
  <c r="H32" i="16"/>
  <c r="M32" i="16"/>
  <c r="K32" i="16"/>
  <c r="I32" i="19" l="1"/>
  <c r="I32" i="16"/>
  <c r="L32" i="16"/>
  <c r="N32" i="16"/>
  <c r="J32" i="16" l="1"/>
  <c r="O7" i="22"/>
  <c r="I7" i="22"/>
  <c r="M7" i="22"/>
  <c r="G7" i="22"/>
  <c r="H7" i="22" s="1"/>
  <c r="K7" i="22"/>
  <c r="L7" i="22" l="1"/>
  <c r="Q7" i="22" s="1"/>
  <c r="X7" i="22"/>
  <c r="Y7" i="22" s="1"/>
  <c r="N7" i="22"/>
  <c r="T7" i="22" s="1"/>
  <c r="E8" i="22" s="1"/>
  <c r="J7" i="22"/>
  <c r="R7" i="22" s="1"/>
  <c r="C8" i="22" s="1"/>
  <c r="P7" i="22"/>
  <c r="S7" i="22" s="1"/>
  <c r="F8" i="22" l="1"/>
  <c r="V7" i="22"/>
  <c r="D8" i="22"/>
  <c r="U7" i="22"/>
  <c r="I8" i="22" l="1"/>
  <c r="K8" i="22"/>
  <c r="G8" i="22"/>
  <c r="H8" i="22" s="1"/>
  <c r="M8" i="22"/>
  <c r="O8" i="22"/>
  <c r="P8" i="22" l="1"/>
  <c r="S8" i="22" s="1"/>
  <c r="F9" i="22" s="1"/>
  <c r="J8" i="22"/>
  <c r="R8" i="22" s="1"/>
  <c r="C9" i="22" s="1"/>
  <c r="L8" i="22"/>
  <c r="Q8" i="22" s="1"/>
  <c r="D9" i="22" s="1"/>
  <c r="X8" i="22"/>
  <c r="Y8" i="22" s="1"/>
  <c r="N8" i="22"/>
  <c r="T8" i="22" s="1"/>
  <c r="E9" i="22" s="1"/>
  <c r="U8" i="22" l="1"/>
  <c r="K9" i="22"/>
  <c r="V8" i="22"/>
  <c r="I9" i="22"/>
  <c r="O9" i="22"/>
  <c r="G9" i="22"/>
  <c r="H9" i="22" s="1"/>
  <c r="M9" i="22"/>
  <c r="N9" i="22" l="1"/>
  <c r="T9" i="22" s="1"/>
  <c r="E10" i="22" s="1"/>
  <c r="P9" i="22"/>
  <c r="S9" i="22" s="1"/>
  <c r="F10" i="22" s="1"/>
  <c r="L9" i="22"/>
  <c r="Q9" i="22" s="1"/>
  <c r="J9" i="22"/>
  <c r="R9" i="22" s="1"/>
  <c r="C10" i="22" s="1"/>
  <c r="X9" i="22"/>
  <c r="Y9" i="22" s="1"/>
  <c r="U9" i="22" l="1"/>
  <c r="D10" i="22"/>
  <c r="G10" i="22" s="1"/>
  <c r="H10" i="22" s="1"/>
  <c r="V9" i="22"/>
  <c r="K10" i="22" l="1"/>
  <c r="L10" i="22" s="1"/>
  <c r="Q10" i="22" s="1"/>
  <c r="X10" i="22"/>
  <c r="Y10" i="22" s="1"/>
  <c r="O10" i="22"/>
  <c r="P10" i="22" s="1"/>
  <c r="S10" i="22" s="1"/>
  <c r="M10" i="22"/>
  <c r="N10" i="22" s="1"/>
  <c r="T10" i="22" s="1"/>
  <c r="E11" i="22" s="1"/>
  <c r="I10" i="22"/>
  <c r="J10" i="22" s="1"/>
  <c r="R10" i="22" s="1"/>
  <c r="C11" i="22" s="1"/>
  <c r="F11" i="22" l="1"/>
  <c r="V10" i="22"/>
  <c r="D11" i="22"/>
  <c r="U10" i="22"/>
  <c r="I11" i="22" l="1"/>
  <c r="G11" i="22"/>
  <c r="X11" i="22" s="1"/>
  <c r="Y11" i="22" s="1"/>
  <c r="O11" i="22"/>
  <c r="M11" i="22"/>
  <c r="K11" i="22"/>
  <c r="H11" i="22" l="1"/>
  <c r="J11" i="22" s="1"/>
  <c r="R11" i="22" s="1"/>
  <c r="C12" i="22" s="1"/>
  <c r="P11" i="22" l="1"/>
  <c r="S11" i="22" s="1"/>
  <c r="F12" i="22" s="1"/>
  <c r="L11" i="22"/>
  <c r="Q11" i="22" s="1"/>
  <c r="D12" i="22" s="1"/>
  <c r="N11" i="22"/>
  <c r="T11" i="22" s="1"/>
  <c r="E12" i="22" s="1"/>
  <c r="U11" i="22" l="1"/>
  <c r="V11" i="22"/>
  <c r="I12" i="22"/>
  <c r="K12" i="22"/>
  <c r="G12" i="22"/>
  <c r="H12" i="22" s="1"/>
  <c r="M12" i="22"/>
  <c r="O12" i="22"/>
  <c r="N12" i="22" l="1"/>
  <c r="T12" i="22" s="1"/>
  <c r="E13" i="22" s="1"/>
  <c r="J12" i="22"/>
  <c r="R12" i="22" s="1"/>
  <c r="C13" i="22" s="1"/>
  <c r="P12" i="22"/>
  <c r="S12" i="22" s="1"/>
  <c r="F13" i="22" s="1"/>
  <c r="L12" i="22"/>
  <c r="Q12" i="22" s="1"/>
  <c r="D13" i="22" s="1"/>
  <c r="X12" i="22"/>
  <c r="Y12" i="22" s="1"/>
  <c r="V12" i="22" l="1"/>
  <c r="U12" i="22"/>
  <c r="K13" i="22"/>
  <c r="G13" i="22"/>
  <c r="H13" i="22" s="1"/>
  <c r="I13" i="22"/>
  <c r="O13" i="22"/>
  <c r="M13" i="22"/>
  <c r="X13" i="22" l="1"/>
  <c r="Y13" i="22" s="1"/>
  <c r="N13" i="22"/>
  <c r="T13" i="22" s="1"/>
  <c r="E14" i="22" s="1"/>
  <c r="L13" i="22"/>
  <c r="Q13" i="22" s="1"/>
  <c r="J13" i="22"/>
  <c r="R13" i="22" s="1"/>
  <c r="C14" i="22" s="1"/>
  <c r="P13" i="22"/>
  <c r="S13" i="22" s="1"/>
  <c r="F14" i="22" l="1"/>
  <c r="V13" i="22"/>
  <c r="D14" i="22"/>
  <c r="U13" i="22"/>
  <c r="I14" i="22" l="1"/>
  <c r="M14" i="22"/>
  <c r="O14" i="22"/>
  <c r="G14" i="22"/>
  <c r="H14" i="22" s="1"/>
  <c r="K14" i="22"/>
  <c r="X14" i="22" l="1"/>
  <c r="Y14" i="22" s="1"/>
  <c r="P14" i="22"/>
  <c r="S14" i="22" s="1"/>
  <c r="N14" i="22"/>
  <c r="T14" i="22" s="1"/>
  <c r="E15" i="22" s="1"/>
  <c r="J14" i="22"/>
  <c r="R14" i="22" s="1"/>
  <c r="C15" i="22" s="1"/>
  <c r="L14" i="22"/>
  <c r="Q14" i="22" s="1"/>
  <c r="D15" i="22" l="1"/>
  <c r="U14" i="22"/>
  <c r="F15" i="22"/>
  <c r="V14" i="22"/>
  <c r="G15" i="22" l="1"/>
  <c r="X15" i="22" s="1"/>
  <c r="Y15" i="22" s="1"/>
  <c r="O15" i="22"/>
  <c r="K15" i="22"/>
  <c r="I15" i="22"/>
  <c r="M15" i="22"/>
  <c r="H15" i="22" l="1"/>
  <c r="N15" i="22" s="1"/>
  <c r="T15" i="22" s="1"/>
  <c r="E16" i="22" s="1"/>
  <c r="L15" i="22" l="1"/>
  <c r="Q15" i="22" s="1"/>
  <c r="D16" i="22" s="1"/>
  <c r="P15" i="22"/>
  <c r="S15" i="22" s="1"/>
  <c r="J15" i="22"/>
  <c r="R15" i="22" s="1"/>
  <c r="C16" i="22" s="1"/>
  <c r="U15" i="22" l="1"/>
  <c r="V15" i="22"/>
  <c r="F16" i="22"/>
  <c r="K16" i="22" s="1"/>
  <c r="G16" i="22" l="1"/>
  <c r="H16" i="22" s="1"/>
  <c r="L16" i="22" s="1"/>
  <c r="Q16" i="22" s="1"/>
  <c r="D17" i="22" s="1"/>
  <c r="M16" i="22"/>
  <c r="I16" i="22"/>
  <c r="O16" i="22"/>
  <c r="X16" i="22" l="1"/>
  <c r="Y16" i="22" s="1"/>
  <c r="N16" i="22"/>
  <c r="T16" i="22" s="1"/>
  <c r="E17" i="22" s="1"/>
  <c r="J16" i="22"/>
  <c r="R16" i="22" s="1"/>
  <c r="C17" i="22" s="1"/>
  <c r="P16" i="22"/>
  <c r="S16" i="22" s="1"/>
  <c r="V16" i="22" l="1"/>
  <c r="F17" i="22"/>
  <c r="I17" i="22" s="1"/>
  <c r="U16" i="22"/>
  <c r="K17" i="22" l="1"/>
  <c r="G17" i="22"/>
  <c r="X17" i="22" s="1"/>
  <c r="Y17" i="22" s="1"/>
  <c r="M17" i="22"/>
  <c r="O17" i="22"/>
  <c r="H17" i="22" l="1"/>
  <c r="L17" i="22" s="1"/>
  <c r="Q17" i="22" s="1"/>
  <c r="D18" i="22" s="1"/>
  <c r="P17" i="22" l="1"/>
  <c r="S17" i="22" s="1"/>
  <c r="F18" i="22" s="1"/>
  <c r="J17" i="22"/>
  <c r="R17" i="22" s="1"/>
  <c r="C18" i="22" s="1"/>
  <c r="N17" i="22"/>
  <c r="T17" i="22" s="1"/>
  <c r="E18" i="22" s="1"/>
  <c r="I18" i="22" l="1"/>
  <c r="G18" i="22"/>
  <c r="X18" i="22" s="1"/>
  <c r="Y18" i="22" s="1"/>
  <c r="K18" i="22"/>
  <c r="M18" i="22"/>
  <c r="U17" i="22"/>
  <c r="O18" i="22"/>
  <c r="V17" i="22"/>
  <c r="H18" i="22" l="1"/>
  <c r="L18" i="22" s="1"/>
  <c r="Q18" i="22" s="1"/>
  <c r="D19" i="22" s="1"/>
  <c r="N18" i="22" l="1"/>
  <c r="T18" i="22" s="1"/>
  <c r="E19" i="22" s="1"/>
  <c r="P18" i="22"/>
  <c r="S18" i="22" s="1"/>
  <c r="U18" i="22" s="1"/>
  <c r="J18" i="22"/>
  <c r="R18" i="22" s="1"/>
  <c r="C19" i="22" s="1"/>
  <c r="F19" i="22" l="1"/>
  <c r="O19" i="22" s="1"/>
  <c r="V18" i="22"/>
  <c r="I19" i="22" l="1"/>
  <c r="G19" i="22"/>
  <c r="X19" i="22" s="1"/>
  <c r="Y19" i="22" s="1"/>
  <c r="K19" i="22"/>
  <c r="M19" i="22"/>
  <c r="H19" i="22" l="1"/>
  <c r="L19" i="22" s="1"/>
  <c r="Q19" i="22" s="1"/>
  <c r="J19" i="22" l="1"/>
  <c r="R19" i="22" s="1"/>
  <c r="C20" i="22" s="1"/>
  <c r="P19" i="22"/>
  <c r="S19" i="22" s="1"/>
  <c r="U19" i="22" s="1"/>
  <c r="N19" i="22"/>
  <c r="T19" i="22" s="1"/>
  <c r="E20" i="22" s="1"/>
  <c r="D20" i="22"/>
  <c r="F20" i="22" l="1"/>
  <c r="K20" i="22" s="1"/>
  <c r="V19" i="22"/>
  <c r="M20" i="22" l="1"/>
  <c r="G20" i="22"/>
  <c r="H20" i="22" s="1"/>
  <c r="I20" i="22"/>
  <c r="O20" i="22"/>
  <c r="X20" i="22" l="1"/>
  <c r="Y20" i="22" s="1"/>
  <c r="J20" i="22"/>
  <c r="R20" i="22" s="1"/>
  <c r="C21" i="22" s="1"/>
  <c r="N20" i="22"/>
  <c r="T20" i="22" s="1"/>
  <c r="E21" i="22" s="1"/>
  <c r="P20" i="22"/>
  <c r="S20" i="22" s="1"/>
  <c r="L20" i="22"/>
  <c r="Q20" i="22" s="1"/>
  <c r="D21" i="22" l="1"/>
  <c r="U20" i="22"/>
  <c r="F21" i="22"/>
  <c r="V20" i="22"/>
  <c r="G21" i="22" l="1"/>
  <c r="O21" i="22"/>
  <c r="K21" i="22"/>
  <c r="M21" i="22"/>
  <c r="I21" i="22"/>
  <c r="H21" i="22" l="1"/>
  <c r="P21" i="22" s="1"/>
  <c r="S21" i="22" s="1"/>
  <c r="X21" i="22"/>
  <c r="Y21" i="22" s="1"/>
  <c r="F22" i="22" l="1"/>
  <c r="J21" i="22"/>
  <c r="R21" i="22" s="1"/>
  <c r="C22" i="22" s="1"/>
  <c r="L21" i="22"/>
  <c r="Q21" i="22" s="1"/>
  <c r="N21" i="22"/>
  <c r="T21" i="22" s="1"/>
  <c r="E22" i="22" s="1"/>
  <c r="V21" i="22" l="1"/>
  <c r="D22" i="22"/>
  <c r="U21" i="22"/>
  <c r="O22" i="22" l="1"/>
  <c r="M22" i="22"/>
  <c r="K22" i="22"/>
  <c r="I22" i="22"/>
  <c r="G22" i="22"/>
  <c r="X22" i="22" l="1"/>
  <c r="Y22" i="22" s="1"/>
  <c r="H22" i="22"/>
  <c r="J22" i="22" s="1"/>
  <c r="R22" i="22" s="1"/>
  <c r="C23" i="22" s="1"/>
  <c r="N22" i="22" l="1"/>
  <c r="T22" i="22" s="1"/>
  <c r="E23" i="22" s="1"/>
  <c r="L22" i="22"/>
  <c r="Q22" i="22" s="1"/>
  <c r="D23" i="22" s="1"/>
  <c r="P22" i="22"/>
  <c r="S22" i="22" s="1"/>
  <c r="V22" i="22" l="1"/>
  <c r="F23" i="22"/>
  <c r="G23" i="22" s="1"/>
  <c r="U22" i="22"/>
  <c r="K23" i="22" l="1"/>
  <c r="O23" i="22"/>
  <c r="I23" i="22"/>
  <c r="M23" i="22"/>
  <c r="H23" i="22"/>
  <c r="X23" i="22"/>
  <c r="Y23" i="22" s="1"/>
  <c r="J23" i="22" l="1"/>
  <c r="R23" i="22" s="1"/>
  <c r="C24" i="22" s="1"/>
  <c r="P23" i="22"/>
  <c r="S23" i="22" s="1"/>
  <c r="L23" i="22"/>
  <c r="Q23" i="22" s="1"/>
  <c r="N23" i="22"/>
  <c r="T23" i="22" s="1"/>
  <c r="E24" i="22" s="1"/>
  <c r="D24" i="22" l="1"/>
  <c r="U23" i="22"/>
  <c r="F24" i="22"/>
  <c r="V23" i="22"/>
  <c r="G24" i="22" l="1"/>
  <c r="K24" i="22"/>
  <c r="M24" i="22"/>
  <c r="O24" i="22"/>
  <c r="I24" i="22"/>
  <c r="X24" i="22" l="1"/>
  <c r="Y24" i="22" s="1"/>
  <c r="H24" i="22"/>
  <c r="P24" i="22" s="1"/>
  <c r="S24" i="22" s="1"/>
  <c r="N24" i="22" l="1"/>
  <c r="T24" i="22" s="1"/>
  <c r="E25" i="22" s="1"/>
  <c r="F25" i="22"/>
  <c r="J24" i="22"/>
  <c r="R24" i="22" s="1"/>
  <c r="C25" i="22" s="1"/>
  <c r="L24" i="22"/>
  <c r="Q24" i="22" s="1"/>
  <c r="U24" i="22" l="1"/>
  <c r="D25" i="22"/>
  <c r="V24" i="22"/>
  <c r="I25" i="22" l="1"/>
  <c r="O25" i="22"/>
  <c r="K25" i="22"/>
  <c r="G25" i="22"/>
  <c r="M25" i="22"/>
  <c r="X25" i="22" l="1"/>
  <c r="Y25" i="22" s="1"/>
  <c r="H25" i="22"/>
  <c r="N25" i="22" s="1"/>
  <c r="T25" i="22" s="1"/>
  <c r="E26" i="22" s="1"/>
  <c r="L25" i="22" l="1"/>
  <c r="Q25" i="22" s="1"/>
  <c r="D26" i="22" s="1"/>
  <c r="J25" i="22"/>
  <c r="R25" i="22" s="1"/>
  <c r="C26" i="22" s="1"/>
  <c r="P25" i="22"/>
  <c r="S25" i="22" s="1"/>
  <c r="F26" i="22" l="1"/>
  <c r="M26" i="22" s="1"/>
  <c r="V25" i="22"/>
  <c r="U25" i="22"/>
  <c r="I26" i="22" l="1"/>
  <c r="G26" i="22"/>
  <c r="X26" i="22" s="1"/>
  <c r="Y26" i="22" s="1"/>
  <c r="O26" i="22"/>
  <c r="K26" i="22"/>
  <c r="H26" i="22" l="1"/>
  <c r="J26" i="22" s="1"/>
  <c r="R26" i="22" s="1"/>
  <c r="C27" i="22" s="1"/>
  <c r="L26" i="22" l="1"/>
  <c r="Q26" i="22" s="1"/>
  <c r="D27" i="22" s="1"/>
  <c r="N26" i="22"/>
  <c r="T26" i="22" s="1"/>
  <c r="E27" i="22" s="1"/>
  <c r="P26" i="22"/>
  <c r="S26" i="22" s="1"/>
  <c r="F27" i="22" s="1"/>
  <c r="U26" i="22" l="1"/>
  <c r="I27" i="22"/>
  <c r="V26" i="22"/>
  <c r="M27" i="22"/>
  <c r="G27" i="22"/>
  <c r="K27" i="22"/>
  <c r="O27" i="22"/>
  <c r="X27" i="22" l="1"/>
  <c r="Y27" i="22" s="1"/>
  <c r="H27" i="22"/>
  <c r="J27" i="22" s="1"/>
  <c r="R27" i="22" s="1"/>
  <c r="C28" i="22" s="1"/>
  <c r="L27" i="22" l="1"/>
  <c r="Q27" i="22" s="1"/>
  <c r="N27" i="22"/>
  <c r="T27" i="22" s="1"/>
  <c r="E28" i="22" s="1"/>
  <c r="P27" i="22"/>
  <c r="S27" i="22" s="1"/>
  <c r="F28" i="22" l="1"/>
  <c r="V27" i="22"/>
  <c r="D28" i="22"/>
  <c r="U27" i="22"/>
  <c r="I28" i="22" l="1"/>
  <c r="K28" i="22"/>
  <c r="M28" i="22"/>
  <c r="G28" i="22"/>
  <c r="O28" i="22"/>
  <c r="H28" i="22" l="1"/>
  <c r="N28" i="22" s="1"/>
  <c r="T28" i="22" s="1"/>
  <c r="E29" i="22" s="1"/>
  <c r="X28" i="22"/>
  <c r="Y28" i="22" s="1"/>
  <c r="L28" i="22" l="1"/>
  <c r="Q28" i="22" s="1"/>
  <c r="D29" i="22" s="1"/>
  <c r="J28" i="22"/>
  <c r="R28" i="22" s="1"/>
  <c r="C29" i="22" s="1"/>
  <c r="P28" i="22"/>
  <c r="S28" i="22" s="1"/>
  <c r="F29" i="22" l="1"/>
  <c r="O29" i="22" s="1"/>
  <c r="V28" i="22"/>
  <c r="U28" i="22"/>
  <c r="G29" i="22" l="1"/>
  <c r="X29" i="22" s="1"/>
  <c r="Y29" i="22" s="1"/>
  <c r="K29" i="22"/>
  <c r="M29" i="22"/>
  <c r="I29" i="22"/>
  <c r="H29" i="22" l="1"/>
  <c r="J29" i="22" s="1"/>
  <c r="R29" i="22" s="1"/>
  <c r="C30" i="22" s="1"/>
  <c r="N29" i="22" l="1"/>
  <c r="T29" i="22" s="1"/>
  <c r="E30" i="22" s="1"/>
  <c r="P29" i="22"/>
  <c r="S29" i="22" s="1"/>
  <c r="F30" i="22" s="1"/>
  <c r="L29" i="22"/>
  <c r="Q29" i="22" s="1"/>
  <c r="D30" i="22" s="1"/>
  <c r="V29" i="22" l="1"/>
  <c r="K30" i="22"/>
  <c r="M30" i="22"/>
  <c r="U29" i="22"/>
  <c r="I30" i="22"/>
  <c r="O30" i="22"/>
  <c r="G30" i="22"/>
  <c r="H30" i="22" s="1"/>
  <c r="X30" i="22" l="1"/>
  <c r="Y30" i="22" s="1"/>
  <c r="J30" i="22"/>
  <c r="R30" i="22" s="1"/>
  <c r="C31" i="22" s="1"/>
  <c r="N30" i="22"/>
  <c r="T30" i="22" s="1"/>
  <c r="E31" i="22" s="1"/>
  <c r="L30" i="22"/>
  <c r="Q30" i="22" s="1"/>
  <c r="D31" i="22" s="1"/>
  <c r="P30" i="22"/>
  <c r="S30" i="22" s="1"/>
  <c r="U30" i="22" l="1"/>
  <c r="F31" i="22"/>
  <c r="K31" i="22" s="1"/>
  <c r="V30" i="22"/>
  <c r="G31" i="22" l="1"/>
  <c r="H31" i="22" s="1"/>
  <c r="L31" i="22" s="1"/>
  <c r="Q31" i="22" s="1"/>
  <c r="I31" i="22"/>
  <c r="O31" i="22"/>
  <c r="M31" i="22"/>
  <c r="X31" i="22" l="1"/>
  <c r="Y31" i="22" s="1"/>
  <c r="N31" i="22"/>
  <c r="T31" i="22" s="1"/>
  <c r="E32" i="22" s="1"/>
  <c r="P31" i="22"/>
  <c r="S31" i="22" s="1"/>
  <c r="U31" i="22" s="1"/>
  <c r="J31" i="22"/>
  <c r="R31" i="22" s="1"/>
  <c r="C32" i="22" s="1"/>
  <c r="D32" i="22"/>
  <c r="F32" i="22" l="1"/>
  <c r="O32" i="22" s="1"/>
  <c r="V31" i="22"/>
  <c r="I32" i="22" l="1"/>
  <c r="G32" i="22"/>
  <c r="H32" i="22" s="1"/>
  <c r="K32" i="22"/>
  <c r="M32" i="22"/>
  <c r="N32" i="22" l="1"/>
  <c r="T32" i="22" s="1"/>
  <c r="E33" i="22" s="1"/>
  <c r="X32" i="22"/>
  <c r="Y32" i="22" s="1"/>
  <c r="J32" i="22"/>
  <c r="R32" i="22" s="1"/>
  <c r="C33" i="22" s="1"/>
  <c r="P32" i="22"/>
  <c r="S32" i="22" s="1"/>
  <c r="L32" i="22"/>
  <c r="Q32" i="22" s="1"/>
  <c r="D33" i="22" s="1"/>
  <c r="U32" i="22" l="1"/>
  <c r="F33" i="22"/>
  <c r="O33" i="22" s="1"/>
  <c r="V32" i="22"/>
  <c r="I33" i="22" l="1"/>
  <c r="K33" i="22"/>
  <c r="G33" i="22"/>
  <c r="M33" i="22"/>
  <c r="H33" i="22" l="1"/>
  <c r="X33" i="22"/>
  <c r="Y33" i="22" s="1"/>
  <c r="P33" i="22" l="1"/>
  <c r="S33" i="22" s="1"/>
  <c r="L33" i="22"/>
  <c r="Q33" i="22" s="1"/>
  <c r="J33" i="22"/>
  <c r="R33" i="22" s="1"/>
  <c r="C34" i="22" s="1"/>
  <c r="N33" i="22"/>
  <c r="T33" i="22" s="1"/>
  <c r="E34" i="22" s="1"/>
  <c r="D34" i="22" l="1"/>
  <c r="U33" i="22"/>
  <c r="F34" i="22"/>
  <c r="V33" i="22"/>
  <c r="K34" i="22" l="1"/>
  <c r="M34" i="22"/>
  <c r="I34" i="22"/>
  <c r="O34" i="22"/>
  <c r="G34" i="22"/>
  <c r="X34" i="22" l="1"/>
  <c r="Y34" i="22" s="1"/>
  <c r="H34" i="22"/>
  <c r="P34" i="22" s="1"/>
  <c r="S34" i="22" s="1"/>
  <c r="J34" i="22" l="1"/>
  <c r="R34" i="22" s="1"/>
  <c r="C35" i="22" s="1"/>
  <c r="N34" i="22"/>
  <c r="T34" i="22" s="1"/>
  <c r="E35" i="22" s="1"/>
  <c r="F35" i="22"/>
  <c r="L34" i="22"/>
  <c r="Q34" i="22" s="1"/>
  <c r="V34" i="22" l="1"/>
  <c r="U34" i="22"/>
  <c r="D35" i="22"/>
  <c r="G35" i="22" l="1"/>
  <c r="O35" i="22"/>
  <c r="M35" i="22"/>
  <c r="I35" i="22"/>
  <c r="K35" i="22"/>
  <c r="H35" i="22" l="1"/>
  <c r="H36" i="22" s="1"/>
  <c r="X35" i="22"/>
  <c r="Y35" i="22" l="1"/>
  <c r="Y36" i="22" s="1"/>
  <c r="X36" i="22"/>
  <c r="P35" i="22"/>
  <c r="S35" i="22" s="1"/>
  <c r="L35" i="22"/>
  <c r="Q35" i="22" s="1"/>
  <c r="N35" i="22"/>
  <c r="T35" i="22" s="1"/>
  <c r="J35" i="22"/>
  <c r="R35" i="22" s="1"/>
  <c r="U35" i="22" l="1"/>
  <c r="V3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tc={824AD3A1-8D55-984B-B963-5046FABFA38C}</author>
    <author>tc={60FD1385-4F44-B844-AE08-0524957D5FB2}</author>
    <author>tc={13358A2E-D0D0-0D40-85D1-B264AD808DB4}</author>
    <author>tc={CFEDBBF2-1FE8-E04A-9325-61CE305D3234}</author>
  </authors>
  <commentList>
    <comment ref="B3" authorId="0" shapeId="0" xr:uid="{824AD3A1-8D55-984B-B963-5046FABFA38C}">
      <text>
        <t>[Threaded comment]
Your version of Excel allows you to read this threaded comment; however, any edits to it will get removed if the file is opened in a newer version of Excel. Learn more: https://go.microsoft.com/fwlink/?linkid=870924
Comment:
    We can see it as a single neuron (a neural network without networking)</t>
      </text>
    </comment>
    <comment ref="B10" authorId="1" shapeId="0" xr:uid="{60FD1385-4F44-B844-AE08-0524957D5FB2}">
      <text>
        <t>[Threaded comment]
Your version of Excel allows you to read this threaded comment; however, any edits to it will get removed if the file is opened in a newer version of Excel. Learn more: https://go.microsoft.com/fwlink/?linkid=870924
Comment:
    The key questions is how to do the ‘update’
Reply:
    In fact, this line describes both forward and backward operations (the essence of NN)</t>
      </text>
    </comment>
    <comment ref="B19" authorId="2" shapeId="0" xr:uid="{13358A2E-D0D0-0D40-85D1-B264AD808DB4}">
      <text>
        <t>[Threaded comment]
Your version of Excel allows you to read this threaded comment; however, any edits to it will get removed if the file is opened in a newer version of Excel. Learn more: https://go.microsoft.com/fwlink/?linkid=870924
Comment:
    To test the universal concepts which can be applied in many cases including CV, we don’t have to use images as dataset. This way, we can run faster in excel</t>
      </text>
    </comment>
    <comment ref="B30" authorId="3" shapeId="0" xr:uid="{CFEDBBF2-1FE8-E04A-9325-61CE305D3234}">
      <text>
        <t>[Threaded comment]
Your version of Excel allows you to read this threaded comment; however, any edits to it will get removed if the file is opened in a newer version of Excel. Learn more: https://go.microsoft.com/fwlink/?linkid=870924
Comment:
    I can add more optimization functions to test.
Reply:
    How the different optimization functions are compared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D2" authorId="0" shapeId="0" xr:uid="{00000000-0006-0000-0100-000001000000}">
      <text>
        <r>
          <rPr>
            <b/>
            <sz val="9"/>
            <color rgb="FF000000"/>
            <rFont val="Tahoma"/>
            <family val="2"/>
          </rPr>
          <t>Rachel Thomas:</t>
        </r>
        <r>
          <rPr>
            <sz val="9"/>
            <color rgb="FF000000"/>
            <rFont val="Tahoma"/>
            <family val="2"/>
          </rPr>
          <t xml:space="preserve">
</t>
        </r>
        <r>
          <rPr>
            <sz val="9"/>
            <color rgb="FF000000"/>
            <rFont val="Tahoma"/>
            <family val="2"/>
          </rPr>
          <t>We just arbitrarily chose values for a, b.  In the other sheets, we will see if our optimizers can get near these true values.</t>
        </r>
      </text>
    </comment>
    <comment ref="B5" authorId="0" shapeId="0" xr:uid="{00000000-0006-0000-0100-000002000000}">
      <text>
        <r>
          <rPr>
            <b/>
            <sz val="9"/>
            <color rgb="FF000000"/>
            <rFont val="Tahoma"/>
            <family val="2"/>
          </rPr>
          <t>Rachel Thomas:</t>
        </r>
        <r>
          <rPr>
            <sz val="9"/>
            <color rgb="FF000000"/>
            <rFont val="Tahoma"/>
            <family val="2"/>
          </rPr>
          <t xml:space="preserve">
</t>
        </r>
        <r>
          <rPr>
            <sz val="9"/>
            <color rgb="FF000000"/>
            <rFont val="Tahoma"/>
            <family val="2"/>
          </rPr>
          <t>x values are randomly chosen.  For CNNs, x would be our image data</t>
        </r>
      </text>
    </comment>
    <comment ref="D5" authorId="0" shapeId="0" xr:uid="{00000000-0006-0000-0100-000003000000}">
      <text>
        <r>
          <rPr>
            <b/>
            <sz val="9"/>
            <color rgb="FF000000"/>
            <rFont val="Tahoma"/>
            <family val="2"/>
          </rPr>
          <t>Rachel Thomas:</t>
        </r>
        <r>
          <rPr>
            <sz val="9"/>
            <color rgb="FF000000"/>
            <rFont val="Tahoma"/>
            <family val="2"/>
          </rPr>
          <t xml:space="preserve">
</t>
        </r>
        <r>
          <rPr>
            <sz val="9"/>
            <color rgb="FF000000"/>
            <rFont val="Tahoma"/>
            <family val="2"/>
          </rPr>
          <t>Here we calculate y (using the "true" a and b).  This is the value our model is trying to predict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Jeremy Howard</author>
    <author>tc={5CFD5FA1-2E7E-9C48-BF1F-AE6A35E1232C}</author>
    <author>Rachel Thomas</author>
    <author>tc={F296575E-C434-DB42-9F6D-43A63184587A}</author>
  </authors>
  <commentList>
    <comment ref="C1" authorId="0" shapeId="0" xr:uid="{00000000-0006-0000-0200-00000100000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00000000-0006-0000-0200-00000200000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3" authorId="0" shapeId="0" xr:uid="{00000000-0006-0000-0200-00000300000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3" authorId="1" shapeId="0" xr:uid="{5CFD5FA1-2E7E-9C48-BF1F-AE6A35E1232C}">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3" authorId="2" shapeId="0" xr:uid="{00000000-0006-0000-0200-000004000000}">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3" authorId="3" shapeId="0" xr:uid="{F296575E-C434-DB42-9F6D-43A63184587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3" authorId="2" shapeId="0" xr:uid="{00000000-0006-0000-0200-000005000000}">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00000000-0006-0000-0200-000006000000}">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00000000-0006-0000-0200-000007000000}">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5" authorId="0" shapeId="0" xr:uid="{00000000-0006-0000-0200-000008000000}">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Jeremy Howard</author>
    <author>tc={7594B638-86BD-D54D-BE13-C32C9C33D79E}</author>
    <author>Rachel Thomas</author>
    <author>tc={68E31282-46DC-9F4B-8F73-16C9F58FDC19}</author>
  </authors>
  <commentList>
    <comment ref="C1" authorId="0" shapeId="0" xr:uid="{6A3988A6-BFF8-ED44-95FD-CF3BF39E6807}">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D0BB9F2B-B229-3641-8A5E-11220C0C7064}">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4" authorId="0" shapeId="0" xr:uid="{A2B2BB8B-3BBA-7E4E-8C19-EB6DF56B75DC}">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4" authorId="1" shapeId="0" xr:uid="{7594B638-86BD-D54D-BE13-C32C9C33D79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4" authorId="2" shapeId="0" xr:uid="{A3EA9416-E650-074D-A5FA-D60B730CFA61}">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4" authorId="3" shapeId="0" xr:uid="{68E31282-46DC-9F4B-8F73-16C9F58FDC19}">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4" authorId="2" shapeId="0" xr:uid="{BC46CCD9-60A6-AA4D-B5FB-F901E3A62515}">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5" authorId="0" shapeId="0" xr:uid="{52E44ABB-1354-904C-AB18-4766C0BBCA53}">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5" authorId="0" shapeId="0" xr:uid="{6588533D-6CDD-9642-B521-C413DAD6F3B9}">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6" authorId="0" shapeId="0" xr:uid="{D44B87AB-9537-BF4E-8B09-3CB04EFD26FC}">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Jeremy Howard</author>
    <author>tc={2570C321-FD1E-0342-8231-37E33911166E}</author>
    <author>Rachel Thomas</author>
    <author>tc={3C6E658D-D437-6748-90EF-F2EDE9B582EA}</author>
  </authors>
  <commentList>
    <comment ref="C1" authorId="0" shapeId="0" xr:uid="{F1BA5966-D905-A348-9020-EC6034E99662}">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D57C8A4B-D1DD-7A46-BA9F-308418D451D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C4454254-57C3-6E4A-93A1-45D16622A89F}">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2570C321-FD1E-0342-8231-37E33911166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5F8EDE6C-9F62-EF41-BFF5-B9772C5F12A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3C6E658D-D437-6748-90EF-F2EDE9B582E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9F9D6331-BA3D-3C41-AE3D-08B07CF57EB9}">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AC5F3C4C-453B-9A4D-8423-53CC6BA8BEB2}">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5B8EEBA7-5E04-C046-ADC1-40AFE420EF4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BCF73C9C-378A-964A-8567-697F18F56A9E}">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Jeremy Howard</author>
    <author>tc={DA7DC6A5-6107-1943-9FED-112DFD1B1957}</author>
    <author>Rachel Thomas</author>
    <author>tc={D21400FA-898D-BC43-A8AA-04A26FE376BB}</author>
  </authors>
  <commentList>
    <comment ref="C1" authorId="0" shapeId="0" xr:uid="{29CE1228-99A5-A944-8562-085479357E7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B49686FC-E708-C04D-828F-0CBD70643A79}">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BCBB6DFD-68F8-2E48-AC95-A1460EEF01E1}">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DA7DC6A5-6107-1943-9FED-112DFD1B1957}">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7993537D-BFD0-4240-BEBA-B2F42C05D3C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D21400FA-898D-BC43-A8AA-04A26FE376BB}">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A5CD09A5-CA56-114C-BFEA-299A00738FAD}">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1AA2AE90-402D-F94E-A4AE-D6C223382307}">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A26D261-05E4-1148-92EF-75970D069D18}">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599424C5-70FA-8E42-953E-503F93E25315}">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Jeremy Howard</author>
    <author>tc={88715C0C-4D9E-124F-B99F-AD197682BF96}</author>
    <author>Rachel Thomas</author>
    <author>tc={42822C04-D10E-7541-B2BB-091AC1B30453}</author>
  </authors>
  <commentList>
    <comment ref="C1" authorId="0" shapeId="0" xr:uid="{428B8692-0A07-254B-83B9-C54E45CDE6F5}">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79A5DC53-84AF-B448-A1E3-8F577CBE2A78}">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441EBD23-AE0E-D046-BDE0-29495C908339}">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88715C0C-4D9E-124F-B99F-AD197682BF96}">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D77D4B50-DE1C-2440-852C-DAF1376ED707}">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42822C04-D10E-7541-B2BB-091AC1B30453}">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C7" authorId="0" shapeId="0" xr:uid="{7B50CC18-2059-C346-A354-B493C8632419}">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C4D04F1-F158-654C-BEBB-B97D010AF597}">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EF610554-3AC6-6041-BE31-38463E987AA8}">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Jeremy Howard</author>
  </authors>
  <commentList>
    <comment ref="B1" authorId="0" shapeId="0" xr:uid="{86E61E86-F1DC-6045-9845-535D2DA8BB0E}">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G1" authorId="0" shapeId="0" xr:uid="{E325C3A3-EE5C-5B42-8317-A7EBEF54B61C}">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List>
</comments>
</file>

<file path=xl/sharedStrings.xml><?xml version="1.0" encoding="utf-8"?>
<sst xmlns="http://schemas.openxmlformats.org/spreadsheetml/2006/main" count="434" uniqueCount="142">
  <si>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</si>
  <si>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</si>
  <si>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</si>
  <si>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</si>
  <si>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</si>
  <si>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</si>
  <si>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</si>
  <si>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</si>
  <si>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</si>
  <si>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</si>
  <si>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</si>
  <si>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</si>
  <si>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</si>
  <si>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</si>
  <si>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</si>
  <si>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</si>
  <si>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</si>
  <si>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</si>
  <si>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</si>
  <si>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</si>
  <si>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</si>
  <si>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</si>
  <si>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</si>
  <si>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</si>
  <si>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</si>
  <si>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</si>
  <si>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</si>
  <si>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</si>
  <si>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</si>
  <si>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</si>
  <si>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</si>
  <si>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</si>
  <si>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</si>
  <si>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</si>
  <si>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</si>
  <si>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</si>
  <si>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</si>
  <si>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</si>
  <si>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</si>
  <si>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</si>
  <si>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</si>
  <si>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</si>
  <si>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</si>
  <si>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</si>
  <si>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</si>
  <si>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</si>
  <si>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</si>
  <si>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</si>
  <si>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</si>
  <si>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</si>
  <si>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</si>
  <si>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</si>
  <si>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</si>
  <si>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</si>
  <si>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</si>
  <si>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</si>
  <si>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</si>
  <si>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</si>
  <si>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</si>
  <si>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</si>
  <si>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</si>
  <si>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</si>
  <si>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</si>
  <si>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</si>
  <si>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</si>
  <si>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</si>
  <si>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</si>
  <si>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</si>
  <si>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</si>
  <si>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</si>
  <si>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</si>
  <si>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How does SGD train NN?</t>
  </si>
  <si>
    <t>slope: a</t>
  </si>
  <si>
    <t>intercept: b</t>
  </si>
  <si>
    <t>errd1</t>
  </si>
  <si>
    <t>est de/dd</t>
  </si>
  <si>
    <t>errc1</t>
  </si>
  <si>
    <t>est de/dc</t>
  </si>
  <si>
    <t>new c</t>
  </si>
  <si>
    <t>new d</t>
  </si>
  <si>
    <t>d</t>
  </si>
  <si>
    <t>c</t>
  </si>
  <si>
    <t>y = (a*x + b)*c + d</t>
  </si>
  <si>
    <t>y=c(a*x+b)+d</t>
  </si>
  <si>
    <t>const: b</t>
  </si>
  <si>
    <t>const2: d</t>
  </si>
  <si>
    <t>slope2: c</t>
  </si>
  <si>
    <t>e=((ax+b)*c + d - y)^2</t>
  </si>
  <si>
    <t>e=((ax + b + 0.01)*c + d - y)^2</t>
  </si>
  <si>
    <t>e=(((a + 0.01)*x + b)*c + d - y)^2</t>
  </si>
  <si>
    <t>e=(a*x+b)*c + d + 0.01 -y)^2</t>
  </si>
  <si>
    <t>e =( (a*x+b)*(c+0.01) + d - y)^2</t>
  </si>
  <si>
    <t>Basic SGD new b = old b - 0.0001 * de/db</t>
  </si>
  <si>
    <t>Momentum new b = old b - 0.0001 * a modified de/db</t>
  </si>
  <si>
    <t>But where does the first modified de/db (-18.33) and the first modified de/da (98.246) come from?</t>
  </si>
  <si>
    <t>y' = ReLU max(0, a*x+b)</t>
  </si>
  <si>
    <t>y'' = c*y' + d</t>
  </si>
  <si>
    <t>x [-80, 120]</t>
  </si>
  <si>
    <t>x [-50,50] rand</t>
  </si>
  <si>
    <t>x [1, 100] rand</t>
  </si>
  <si>
    <t>test X</t>
  </si>
  <si>
    <t>y = ax + b</t>
  </si>
  <si>
    <t>target function</t>
  </si>
  <si>
    <t>model function</t>
  </si>
  <si>
    <t>slope: a, c</t>
  </si>
  <si>
    <t>intercept: b, d</t>
  </si>
  <si>
    <t>think of it as a 2-neuron model with 4 weights (a, b, c, d) without activation function</t>
  </si>
  <si>
    <t>think of it as a neuron model with 2 weights (a, b)</t>
  </si>
  <si>
    <t>y = 2x + 30</t>
  </si>
  <si>
    <t>a*c</t>
  </si>
  <si>
    <t>c*b+d</t>
  </si>
  <si>
    <t>target: 2</t>
  </si>
  <si>
    <t>target: 30</t>
  </si>
  <si>
    <t>y=c*Max(0, (a*x+b))+d</t>
  </si>
  <si>
    <t>e=(Max(0, (ax+b))*c + d - y)^2</t>
  </si>
  <si>
    <t>e=(Max(0, (ax + b + 0.01))*c + d - y)^2</t>
  </si>
  <si>
    <t>e=(Max(0, ((a + 0.01)*x + b))*c + d - y)^2</t>
  </si>
  <si>
    <t>e=Max(0, (a*x+b))*c + d + 0.01 -y)^2</t>
  </si>
  <si>
    <t>e =(Max(0,  (a*x+b))*(c+0.01) + d - y)^2</t>
  </si>
  <si>
    <t>think of it as a 2-neuron model with 4 weights (a, b, c, d) with an activation function on first neuron</t>
  </si>
  <si>
    <t>1 epoch</t>
  </si>
  <si>
    <t>20 epochs</t>
  </si>
  <si>
    <t>without ReLU</t>
  </si>
  <si>
    <t>with ReLU</t>
  </si>
  <si>
    <t>because ReLU is added, therefore, this 2-neuron model is not finding `y =( a*c)*x + (c*b+d)`</t>
  </si>
  <si>
    <t>the modified de/db = 0.1*de/db + 0.9 * previous modified de/db</t>
  </si>
  <si>
    <t>momentum de/db</t>
  </si>
  <si>
    <t>momentum de/da</t>
  </si>
  <si>
    <t>momentum de/dc</t>
  </si>
  <si>
    <t>momentum de/dd</t>
  </si>
  <si>
    <t>2-neurons de/dd</t>
  </si>
  <si>
    <t>1 neuron de/db</t>
  </si>
  <si>
    <t>no ReLU</t>
  </si>
  <si>
    <t>ReLU</t>
  </si>
  <si>
    <t>mom-modified</t>
  </si>
  <si>
    <t>under mom</t>
  </si>
  <si>
    <t>mom</t>
  </si>
  <si>
    <t>Momentum  b = old b - 0.0001 * a modified de/db</t>
  </si>
  <si>
    <t>de/db by momentum = 0.1*de/db + 0.9 * previous de/db by momentum</t>
  </si>
  <si>
    <t>But where does the first modified de/db (-18.33) and the first modified de/da (98.246) come from? The first de/db is set to be 0</t>
  </si>
  <si>
    <t>sin</t>
  </si>
  <si>
    <t>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</si>
</sst>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2"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11"/>
      <color rgb="FF000000"/>
      <name val="Calibri"/>
      <family val="2"/>
      <scheme val="minor"/>
    </font>
    <font>
      <b/>
      <sz val="9"/>
      <color rgb="FF000000"/>
      <name val="Tahoma"/>
      <family val="2"/>
    </font>
    <font>
      <sz val="9"/>
      <color rgb="FF000000"/>
      <name val="Tahoma"/>
      <family val="2"/>
    </font>
    <font>
      <sz val="11"/>
      <color rgb="FFFF0000"/>
      <name val="Calibri"/>
      <family val="2"/>
      <scheme val="minor"/>
    </font>
    <font>
      <sz val="10"/>
      <color rgb="FF000000"/>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5">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7" fillId="0" borderId="0" xfId="0" applyFont="1"/>
    <xf numFmtId="0" fontId="0" fillId="0" borderId="0" xfId="0" applyAlignment="1">
      <alignment horizontal="right"/>
    </xf>
    <xf numFmtId="0" fontId="0" fillId="0" borderId="0" xfId="0" applyAlignment="1">
      <alignment horizontal="center"/>
    </xf>
    <xf numFmtId="0" fontId="0" fillId="0" borderId="0" xfId="0"/>
    <xf numFmtId="0" fontId="10" fillId="0" borderId="0" xfId="0" applyFont="1"/>
    <xf numFmtId="0" fontId="0" fillId="0" borderId="0" xfId="0"/>
    <xf numFmtId="0" fontId="0" fillId="0" borderId="0" xfId="0" applyAlignment="1">
      <alignment horizontal="center" vertical="center"/>
    </xf>
    <xf numFmtId="0" fontId="0" fillId="0" borderId="0" xfId="0"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172838492277357E-2"/>
          <c:y val="0.10554705431149002"/>
          <c:w val="0.87120844269466313"/>
          <c:h val="0.84171296296296294"/>
        </c:manualLayout>
      </c:layout>
      <c:scatterChart>
        <c:scatterStyle val="lineMarker"/>
        <c:varyColors val="0"/>
        <c:ser>
          <c:idx val="0"/>
          <c:order val="0"/>
          <c:tx>
            <c:v>y = ax+b</c:v>
          </c:tx>
          <c:spPr>
            <a:ln w="19050" cap="rnd">
              <a:noFill/>
              <a:round/>
            </a:ln>
            <a:effectLst/>
          </c:spPr>
          <c:marker>
            <c:symbol val="circle"/>
            <c:size val="5"/>
            <c:spPr>
              <a:solidFill>
                <a:schemeClr val="accent1"/>
              </a:solidFill>
              <a:ln w="9525">
                <a:solidFill>
                  <a:schemeClr val="accent1"/>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data!$D$6:$D$34</c:f>
              <c:numCache>
                <c:formatCode>General</c:formatCode>
                <c:ptCount val="29"/>
                <c:pt idx="0">
                  <c:v>-130</c:v>
                </c:pt>
                <c:pt idx="1">
                  <c:v>-110</c:v>
                </c:pt>
                <c:pt idx="2">
                  <c:v>-90</c:v>
                </c:pt>
                <c:pt idx="3">
                  <c:v>-70</c:v>
                </c:pt>
                <c:pt idx="4">
                  <c:v>-50</c:v>
                </c:pt>
                <c:pt idx="5">
                  <c:v>-30</c:v>
                </c:pt>
                <c:pt idx="6">
                  <c:v>-10</c:v>
                </c:pt>
                <c:pt idx="7">
                  <c:v>10</c:v>
                </c:pt>
                <c:pt idx="8">
                  <c:v>30</c:v>
                </c:pt>
                <c:pt idx="9">
                  <c:v>50</c:v>
                </c:pt>
                <c:pt idx="10">
                  <c:v>70</c:v>
                </c:pt>
                <c:pt idx="11">
                  <c:v>90</c:v>
                </c:pt>
                <c:pt idx="12">
                  <c:v>110</c:v>
                </c:pt>
                <c:pt idx="13">
                  <c:v>130</c:v>
                </c:pt>
                <c:pt idx="14">
                  <c:v>150</c:v>
                </c:pt>
                <c:pt idx="15">
                  <c:v>170</c:v>
                </c:pt>
                <c:pt idx="16">
                  <c:v>190</c:v>
                </c:pt>
                <c:pt idx="17">
                  <c:v>210</c:v>
                </c:pt>
                <c:pt idx="18">
                  <c:v>230</c:v>
                </c:pt>
                <c:pt idx="19">
                  <c:v>250</c:v>
                </c:pt>
                <c:pt idx="20">
                  <c:v>270</c:v>
                </c:pt>
              </c:numCache>
            </c:numRef>
          </c:yVal>
          <c:smooth val="0"/>
          <c:extLst>
            <c:ext xmlns:c16="http://schemas.microsoft.com/office/drawing/2014/chart" uri="{C3380CC4-5D6E-409C-BE32-E72D297353CC}">
              <c16:uniqueId val="{00000000-0A42-C945-B34E-C48141A0A594}"/>
            </c:ext>
          </c:extLst>
        </c:ser>
        <c:ser>
          <c:idx val="1"/>
          <c:order val="1"/>
          <c:tx>
            <c:v>y' = c(ax+b)+d</c:v>
          </c:tx>
          <c:spPr>
            <a:ln w="25400" cap="rnd">
              <a:noFill/>
              <a:round/>
            </a:ln>
            <a:effectLst/>
          </c:spPr>
          <c:marker>
            <c:symbol val="circle"/>
            <c:size val="5"/>
            <c:spPr>
              <a:solidFill>
                <a:schemeClr val="accent2"/>
              </a:solidFill>
              <a:ln w="9525">
                <a:solidFill>
                  <a:schemeClr val="accent2"/>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data!$F$6:$F$34</c:f>
              <c:numCache>
                <c:formatCode>General</c:formatCode>
                <c:ptCount val="29"/>
                <c:pt idx="0">
                  <c:v>-380</c:v>
                </c:pt>
                <c:pt idx="1">
                  <c:v>-320</c:v>
                </c:pt>
                <c:pt idx="2">
                  <c:v>-260</c:v>
                </c:pt>
                <c:pt idx="3">
                  <c:v>-200</c:v>
                </c:pt>
                <c:pt idx="4">
                  <c:v>-140</c:v>
                </c:pt>
                <c:pt idx="5">
                  <c:v>-80</c:v>
                </c:pt>
                <c:pt idx="6">
                  <c:v>-20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2-0A42-C945-B34E-C48141A0A594}"/>
            </c:ext>
          </c:extLst>
        </c:ser>
        <c:ser>
          <c:idx val="2"/>
          <c:order val="2"/>
          <c:tx>
            <c:v>y'' = c(max(0, y)) + d</c:v>
          </c:tx>
          <c:spPr>
            <a:ln w="25400" cap="rnd">
              <a:noFill/>
              <a:round/>
            </a:ln>
            <a:effectLst/>
          </c:spPr>
          <c:marker>
            <c:symbol val="circle"/>
            <c:size val="5"/>
            <c:spPr>
              <a:solidFill>
                <a:schemeClr val="accent3"/>
              </a:solidFill>
              <a:ln w="9525">
                <a:solidFill>
                  <a:schemeClr val="accent3"/>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data!$J$6:$J$34</c:f>
              <c:numCache>
                <c:formatCode>General</c:formatCode>
                <c:ptCount val="29"/>
                <c:pt idx="0">
                  <c:v>10</c:v>
                </c:pt>
                <c:pt idx="1">
                  <c:v>10</c:v>
                </c:pt>
                <c:pt idx="2">
                  <c:v>10</c:v>
                </c:pt>
                <c:pt idx="3">
                  <c:v>10</c:v>
                </c:pt>
                <c:pt idx="4">
                  <c:v>10</c:v>
                </c:pt>
                <c:pt idx="5">
                  <c:v>10</c:v>
                </c:pt>
                <c:pt idx="6">
                  <c:v>10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4-0A42-C945-B34E-C48141A0A594}"/>
            </c:ext>
          </c:extLst>
        </c:ser>
        <c:dLbls>
          <c:showLegendKey val="0"/>
          <c:showVal val="0"/>
          <c:showCatName val="0"/>
          <c:showSerName val="0"/>
          <c:showPercent val="0"/>
          <c:showBubbleSize val="0"/>
        </c:dLbls>
        <c:axId val="9143103"/>
        <c:axId val="9144751"/>
      </c:scatterChart>
      <c:valAx>
        <c:axId val="91431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4751"/>
        <c:crosses val="autoZero"/>
        <c:crossBetween val="midCat"/>
      </c:valAx>
      <c:valAx>
        <c:axId val="9144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3103"/>
        <c:crosses val="autoZero"/>
        <c:crossBetween val="midCat"/>
      </c:valAx>
      <c:spPr>
        <a:noFill/>
        <a:ln>
          <a:noFill/>
        </a:ln>
        <a:effectLst/>
      </c:spPr>
    </c:plotArea>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pt idx="10">
                  <c:v>103.05591298365337</c:v>
                </c:pt>
                <c:pt idx="11">
                  <c:v>102.86946674347551</c:v>
                </c:pt>
                <c:pt idx="12">
                  <c:v>102.68335781728057</c:v>
                </c:pt>
                <c:pt idx="13">
                  <c:v>102.4975855948084</c:v>
                </c:pt>
                <c:pt idx="14">
                  <c:v>102.3121494669028</c:v>
                </c:pt>
                <c:pt idx="15">
                  <c:v>102.12704882550973</c:v>
                </c:pt>
                <c:pt idx="16">
                  <c:v>101.94228306367516</c:v>
                </c:pt>
                <c:pt idx="17">
                  <c:v>101.75785157554326</c:v>
                </c:pt>
                <c:pt idx="18">
                  <c:v>101.57375375635399</c:v>
                </c:pt>
                <c:pt idx="19">
                  <c:v>101.38998900244196</c:v>
                </c:pt>
                <c:pt idx="20">
                  <c:v>101.20655671123335</c:v>
                </c:pt>
                <c:pt idx="21">
                  <c:v>101.02345628124486</c:v>
                </c:pt>
                <c:pt idx="22">
                  <c:v>100.84068711208128</c:v>
                </c:pt>
                <c:pt idx="23">
                  <c:v>100.65824860443367</c:v>
                </c:pt>
                <c:pt idx="24">
                  <c:v>100.47614016007725</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est'!$C$39:$C$63</c:f>
              <c:numCache>
                <c:formatCode>General</c:formatCode>
                <c:ptCount val="25"/>
              </c:numCache>
            </c:numRef>
          </c:val>
          <c:smooth val="0"/>
          <c:extLst>
            <c:ext xmlns:c16="http://schemas.microsoft.com/office/drawing/2014/chart" uri="{C3380CC4-5D6E-409C-BE32-E72D297353CC}">
              <c16:uniqueId val="{00000000-F915-8949-A0F2-15001BC1C86D}"/>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collapse'!$C$41:$C$65</c:f>
              <c:numCache>
                <c:formatCode>General</c:formatCode>
                <c:ptCount val="25"/>
              </c:numCache>
            </c:numRef>
          </c:val>
          <c:smooth val="0"/>
          <c:extLst>
            <c:ext xmlns:c16="http://schemas.microsoft.com/office/drawing/2014/chart" uri="{C3380CC4-5D6E-409C-BE32-E72D297353CC}">
              <c16:uniqueId val="{00000000-2827-9347-8DF9-36754354C046}"/>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ReLU'!$C$41:$C$65</c:f>
              <c:numCache>
                <c:formatCode>General</c:formatCode>
                <c:ptCount val="25"/>
                <c:pt idx="0">
                  <c:v>419.21630268369785</c:v>
                </c:pt>
              </c:numCache>
            </c:numRef>
          </c:val>
          <c:smooth val="0"/>
          <c:extLst>
            <c:ext xmlns:c16="http://schemas.microsoft.com/office/drawing/2014/chart" uri="{C3380CC4-5D6E-409C-BE32-E72D297353CC}">
              <c16:uniqueId val="{00000000-A9CB-2146-B8E8-B22B1FE1AEEF}"/>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'momentum ReLU 2 neuron'!$C$41:$C$65</c:f>
              <c:numCache>
                <c:formatCode>General</c:formatCode>
                <c:ptCount val="25"/>
                <c:pt idx="0">
                  <c:v>666.46569708602692</c:v>
                </c:pt>
              </c:numCache>
            </c:numRef>
          </c:val>
          <c:smooth val="0"/>
          <c:extLst>
            <c:ext xmlns:c16="http://schemas.microsoft.com/office/drawing/2014/chart" uri="{C3380CC4-5D6E-409C-BE32-E72D297353CC}">
              <c16:uniqueId val="{00000000-046E-1A45-883C-6430C76C3CB9}"/>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50800" dir="5400000" sx="3000" sy="3000" algn="ctr" rotWithShape="0">
                    <a:srgbClr val="000000">
                      <a:alpha val="43137"/>
                    </a:srgbClr>
                  </a:outerShdw>
                </a:effectLst>
                <a:latin typeface="+mn-lt"/>
                <a:ea typeface="+mn-ea"/>
                <a:cs typeface="+mn-cs"/>
              </a:defRPr>
            </a:pPr>
            <a:r>
              <a:rPr lang="en-US" sz="2000" baseline="0">
                <a:effectLst>
                  <a:outerShdw blurRad="50800" dist="50800" dir="5400000" sx="3000" sy="3000" algn="ctr" rotWithShape="0">
                    <a:srgbClr val="000000">
                      <a:alpha val="43137"/>
                    </a:srgbClr>
                  </a:outerShdw>
                </a:effectLst>
              </a:rPr>
              <a:t>Derivative movement at each data sample in 2 epochs</a:t>
            </a:r>
          </a:p>
        </c:rich>
      </c:tx>
      <c:overlay val="0"/>
      <c:spPr>
        <a:solidFill>
          <a:schemeClr val="accent4">
            <a:lumMod val="60000"/>
            <a:lumOff val="4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50800" dir="5400000" sx="3000" sy="3000" algn="ctr" rotWithShape="0">
                  <a:srgbClr val="000000">
                    <a:alpha val="43137"/>
                  </a:srgbClr>
                </a:outerShdw>
              </a:effectLst>
              <a:latin typeface="+mn-lt"/>
              <a:ea typeface="+mn-ea"/>
              <a:cs typeface="+mn-cs"/>
            </a:defRPr>
          </a:pPr>
          <a:endParaRPr lang="en-CN"/>
        </a:p>
      </c:txPr>
    </c:title>
    <c:autoTitleDeleted val="0"/>
    <c:plotArea>
      <c:layout/>
      <c:lineChart>
        <c:grouping val="standard"/>
        <c:varyColors val="0"/>
        <c:ser>
          <c:idx val="0"/>
          <c:order val="0"/>
          <c:tx>
            <c:strRef>
              <c:f>'Plot momentum'!$H$2</c:f>
              <c:strCache>
                <c:ptCount val="1"/>
                <c:pt idx="0">
                  <c:v>no ReLU</c:v>
                </c:pt>
              </c:strCache>
            </c:strRef>
          </c:tx>
          <c:spPr>
            <a:ln w="38100" cap="rnd" cmpd="tri">
              <a:solidFill>
                <a:srgbClr val="00B050">
                  <a:alpha val="31000"/>
                </a:srgbClr>
              </a:solidFill>
              <a:round/>
            </a:ln>
            <a:effectLst>
              <a:glow rad="38100">
                <a:srgbClr val="00B0F0">
                  <a:alpha val="50000"/>
                </a:srgbClr>
              </a:glow>
              <a:outerShdw blurRad="50800" dist="50800" dir="5400000" algn="ctr" rotWithShape="0">
                <a:srgbClr val="000000">
                  <a:alpha val="52000"/>
                </a:srgbClr>
              </a:outerShdw>
            </a:effectLst>
          </c:spPr>
          <c:marker>
            <c:symbol val="none"/>
          </c:marker>
          <c:val>
            <c:numRef>
              <c:f>'Plot momentum'!$H$3:$H$31</c:f>
              <c:numCache>
                <c:formatCode>0.00</c:formatCode>
                <c:ptCount val="29"/>
                <c:pt idx="0">
                  <c:v>-83.990000000039799</c:v>
                </c:pt>
                <c:pt idx="1">
                  <c:v>-183.3361172783043</c:v>
                </c:pt>
                <c:pt idx="2">
                  <c:v>303.71701041767665</c:v>
                </c:pt>
                <c:pt idx="3">
                  <c:v>-244.0747048232879</c:v>
                </c:pt>
                <c:pt idx="4">
                  <c:v>-119.54880790981406</c:v>
                </c:pt>
                <c:pt idx="5">
                  <c:v>-81.084960238240456</c:v>
                </c:pt>
                <c:pt idx="6">
                  <c:v>0.73114126237654176</c:v>
                </c:pt>
                <c:pt idx="7">
                  <c:v>-14.847761105779256</c:v>
                </c:pt>
                <c:pt idx="8">
                  <c:v>70.23121038212139</c:v>
                </c:pt>
                <c:pt idx="9">
                  <c:v>-103.70261039488469</c:v>
                </c:pt>
                <c:pt idx="10">
                  <c:v>-175.45671605957978</c:v>
                </c:pt>
                <c:pt idx="11">
                  <c:v>-82.73674661345467</c:v>
                </c:pt>
                <c:pt idx="12">
                  <c:v>139.75058574151262</c:v>
                </c:pt>
                <c:pt idx="13">
                  <c:v>-164.61548935649262</c:v>
                </c:pt>
                <c:pt idx="14">
                  <c:v>-71.034801572068318</c:v>
                </c:pt>
                <c:pt idx="15">
                  <c:v>-108.09523684251872</c:v>
                </c:pt>
                <c:pt idx="16">
                  <c:v>-0.37177649308785599</c:v>
                </c:pt>
                <c:pt idx="17">
                  <c:v>65.809467033363944</c:v>
                </c:pt>
                <c:pt idx="18">
                  <c:v>-101.3226160537215</c:v>
                </c:pt>
                <c:pt idx="19">
                  <c:v>-124.97692391489181</c:v>
                </c:pt>
                <c:pt idx="20">
                  <c:v>-134.55664424418501</c:v>
                </c:pt>
                <c:pt idx="21">
                  <c:v>-89.455867848096204</c:v>
                </c:pt>
                <c:pt idx="22">
                  <c:v>-61.308230213330717</c:v>
                </c:pt>
                <c:pt idx="23">
                  <c:v>-82.902195492738429</c:v>
                </c:pt>
                <c:pt idx="24">
                  <c:v>374.63080015368178</c:v>
                </c:pt>
                <c:pt idx="25">
                  <c:v>500</c:v>
                </c:pt>
                <c:pt idx="26">
                  <c:v>900</c:v>
                </c:pt>
              </c:numCache>
            </c:numRef>
          </c:val>
          <c:smooth val="1"/>
          <c:extLst>
            <c:ext xmlns:c16="http://schemas.microsoft.com/office/drawing/2014/chart" uri="{C3380CC4-5D6E-409C-BE32-E72D297353CC}">
              <c16:uniqueId val="{00000000-555A-5447-BB5E-677DC7C14DF7}"/>
            </c:ext>
          </c:extLst>
        </c:ser>
        <c:ser>
          <c:idx val="1"/>
          <c:order val="1"/>
          <c:tx>
            <c:strRef>
              <c:f>'Plot momentum'!$I$2</c:f>
              <c:strCache>
                <c:ptCount val="1"/>
                <c:pt idx="0">
                  <c:v>ReLU</c:v>
                </c:pt>
              </c:strCache>
            </c:strRef>
          </c:tx>
          <c:spPr>
            <a:ln w="28575" cap="rnd">
              <a:solidFill>
                <a:schemeClr val="accent2"/>
              </a:solidFill>
              <a:round/>
            </a:ln>
            <a:effectLst/>
          </c:spPr>
          <c:marker>
            <c:symbol val="none"/>
          </c:marker>
          <c:val>
            <c:numRef>
              <c:f>'Plot momentum'!$I$3:$I$60</c:f>
              <c:numCache>
                <c:formatCode>0.00</c:formatCode>
                <c:ptCount val="58"/>
                <c:pt idx="0">
                  <c:v>-83.990000000039799</c:v>
                </c:pt>
                <c:pt idx="1">
                  <c:v>-183.3361172783043</c:v>
                </c:pt>
                <c:pt idx="2">
                  <c:v>303.71701041767665</c:v>
                </c:pt>
                <c:pt idx="3">
                  <c:v>-244.0747048232879</c:v>
                </c:pt>
                <c:pt idx="4">
                  <c:v>-119.54880790981406</c:v>
                </c:pt>
                <c:pt idx="5">
                  <c:v>-81.084960238240456</c:v>
                </c:pt>
                <c:pt idx="6">
                  <c:v>0.73114126237654176</c:v>
                </c:pt>
                <c:pt idx="7">
                  <c:v>-14.847761105779256</c:v>
                </c:pt>
                <c:pt idx="8">
                  <c:v>70.23121038212139</c:v>
                </c:pt>
                <c:pt idx="9">
                  <c:v>-103.70261039488469</c:v>
                </c:pt>
                <c:pt idx="10">
                  <c:v>-175.45671605957978</c:v>
                </c:pt>
                <c:pt idx="11">
                  <c:v>-82.73674661345467</c:v>
                </c:pt>
                <c:pt idx="12">
                  <c:v>139.75058574151262</c:v>
                </c:pt>
                <c:pt idx="13">
                  <c:v>-164.61548935649262</c:v>
                </c:pt>
                <c:pt idx="14">
                  <c:v>-71.034801572068318</c:v>
                </c:pt>
                <c:pt idx="15">
                  <c:v>-108.09523684251872</c:v>
                </c:pt>
                <c:pt idx="16">
                  <c:v>-0.37177649308785599</c:v>
                </c:pt>
                <c:pt idx="17">
                  <c:v>65.809467033363944</c:v>
                </c:pt>
                <c:pt idx="18">
                  <c:v>-101.3226160537215</c:v>
                </c:pt>
                <c:pt idx="19">
                  <c:v>-124.97692391489181</c:v>
                </c:pt>
                <c:pt idx="20">
                  <c:v>-134.55664424418501</c:v>
                </c:pt>
                <c:pt idx="21">
                  <c:v>-89.455867848096204</c:v>
                </c:pt>
                <c:pt idx="22">
                  <c:v>-61.308230213330717</c:v>
                </c:pt>
                <c:pt idx="23">
                  <c:v>-82.902195492738429</c:v>
                </c:pt>
                <c:pt idx="24">
                  <c:v>374.63080015368178</c:v>
                </c:pt>
                <c:pt idx="25">
                  <c:v>-337.77549040132726</c:v>
                </c:pt>
                <c:pt idx="26">
                  <c:v>-165.70793530345327</c:v>
                </c:pt>
                <c:pt idx="27">
                  <c:v>-125.67479371650734</c:v>
                </c:pt>
                <c:pt idx="28">
                  <c:v>-89.649658757798534</c:v>
                </c:pt>
                <c:pt idx="29">
                  <c:v>-113.64965875782218</c:v>
                </c:pt>
                <c:pt idx="30">
                  <c:v>-401.62692882513511</c:v>
                </c:pt>
                <c:pt idx="31">
                  <c:v>-169.54660344017611</c:v>
                </c:pt>
                <c:pt idx="32">
                  <c:v>-261.51269411930116</c:v>
                </c:pt>
                <c:pt idx="33">
                  <c:v>-169.4603915809239</c:v>
                </c:pt>
                <c:pt idx="34">
                  <c:v>-173.42649950251143</c:v>
                </c:pt>
                <c:pt idx="35">
                  <c:v>-345.3918142033217</c:v>
                </c:pt>
                <c:pt idx="36">
                  <c:v>-305.32273583958158</c:v>
                </c:pt>
                <c:pt idx="37">
                  <c:v>-393.26167129183887</c:v>
                </c:pt>
                <c:pt idx="38">
                  <c:v>-117.18301895830336</c:v>
                </c:pt>
                <c:pt idx="39">
                  <c:v>-225.15958235471771</c:v>
                </c:pt>
                <c:pt idx="40">
                  <c:v>-305.11455043779279</c:v>
                </c:pt>
                <c:pt idx="41">
                  <c:v>-245.05352752803446</c:v>
                </c:pt>
                <c:pt idx="42">
                  <c:v>-197.00451682256244</c:v>
                </c:pt>
                <c:pt idx="43">
                  <c:v>-92.965115919059826</c:v>
                </c:pt>
                <c:pt idx="44">
                  <c:v>-208.9465228958943</c:v>
                </c:pt>
                <c:pt idx="45">
                  <c:v>-232.90473359156749</c:v>
                </c:pt>
                <c:pt idx="46">
                  <c:v>-452.8581526443304</c:v>
                </c:pt>
                <c:pt idx="47">
                  <c:v>-108.76758101403539</c:v>
                </c:pt>
                <c:pt idx="48">
                  <c:v>-140.74582749772162</c:v>
                </c:pt>
                <c:pt idx="49">
                  <c:v>-168.71767833226841</c:v>
                </c:pt>
                <c:pt idx="50">
                  <c:v>-136.68393479674705</c:v>
                </c:pt>
                <c:pt idx="51">
                  <c:v>-88.656598009811205</c:v>
                </c:pt>
                <c:pt idx="52">
                  <c:v>-312.63886668966734</c:v>
                </c:pt>
                <c:pt idx="53">
                  <c:v>-452.57633891669684</c:v>
                </c:pt>
                <c:pt idx="54">
                  <c:v>-336.48582364985486</c:v>
                </c:pt>
                <c:pt idx="55">
                  <c:v>-164.41852648440545</c:v>
                </c:pt>
                <c:pt idx="56">
                  <c:v>-124.38564277908881</c:v>
                </c:pt>
                <c:pt idx="57">
                  <c:v>-88.360765650486428</c:v>
                </c:pt>
              </c:numCache>
            </c:numRef>
          </c:val>
          <c:smooth val="0"/>
          <c:extLst>
            <c:ext xmlns:c16="http://schemas.microsoft.com/office/drawing/2014/chart" uri="{C3380CC4-5D6E-409C-BE32-E72D297353CC}">
              <c16:uniqueId val="{00000001-555A-5447-BB5E-677DC7C14DF7}"/>
            </c:ext>
          </c:extLst>
        </c:ser>
        <c:ser>
          <c:idx val="2"/>
          <c:order val="2"/>
          <c:tx>
            <c:strRef>
              <c:f>'Plot momentum'!$J$2</c:f>
              <c:strCache>
                <c:ptCount val="1"/>
                <c:pt idx="0">
                  <c:v>under mom</c:v>
                </c:pt>
              </c:strCache>
            </c:strRef>
          </c:tx>
          <c:spPr>
            <a:ln w="57150" cap="rnd" cmpd="tri">
              <a:gradFill>
                <a:gsLst>
                  <a:gs pos="6000">
                    <a:schemeClr val="accent1">
                      <a:alpha val="34000"/>
                      <a:lumMod val="48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rker>
            <c:symbol val="none"/>
          </c:marker>
          <c:val>
            <c:numRef>
              <c:f>'Plot momentum'!$J$3:$J$60</c:f>
              <c:numCache>
                <c:formatCode>0.00</c:formatCode>
                <c:ptCount val="58"/>
                <c:pt idx="0">
                  <c:v>-83.990000000039799</c:v>
                </c:pt>
                <c:pt idx="1">
                  <c:v>-223.75338711244694</c:v>
                </c:pt>
                <c:pt idx="2">
                  <c:v>-84.424034300695894</c:v>
                </c:pt>
                <c:pt idx="3">
                  <c:v>-49.684102629601057</c:v>
                </c:pt>
                <c:pt idx="4">
                  <c:v>-11.922308946133597</c:v>
                </c:pt>
                <c:pt idx="5">
                  <c:v>33.446428186988442</c:v>
                </c:pt>
                <c:pt idx="6">
                  <c:v>260.64423262832861</c:v>
                </c:pt>
                <c:pt idx="7">
                  <c:v>105.16607568306426</c:v>
                </c:pt>
                <c:pt idx="8">
                  <c:v>-21.355905754067805</c:v>
                </c:pt>
                <c:pt idx="9">
                  <c:v>-71.435803132862929</c:v>
                </c:pt>
                <c:pt idx="10">
                  <c:v>-143.12897203099055</c:v>
                </c:pt>
                <c:pt idx="11">
                  <c:v>-218.2807416693322</c:v>
                </c:pt>
                <c:pt idx="12">
                  <c:v>-182.19099783837009</c:v>
                </c:pt>
                <c:pt idx="13">
                  <c:v>-143.76178145012091</c:v>
                </c:pt>
                <c:pt idx="14">
                  <c:v>-75.49166302114827</c:v>
                </c:pt>
                <c:pt idx="15">
                  <c:v>-124.64359768500799</c:v>
                </c:pt>
                <c:pt idx="16">
                  <c:v>-109.76494141241346</c:v>
                </c:pt>
                <c:pt idx="17">
                  <c:v>-90.047339247530545</c:v>
                </c:pt>
                <c:pt idx="18">
                  <c:v>-37.722079348668558</c:v>
                </c:pt>
                <c:pt idx="19">
                  <c:v>10.961699823127447</c:v>
                </c:pt>
                <c:pt idx="20">
                  <c:v>83.677044052501515</c:v>
                </c:pt>
                <c:pt idx="21">
                  <c:v>71.68269043543205</c:v>
                </c:pt>
                <c:pt idx="22">
                  <c:v>4.8450392263955422</c:v>
                </c:pt>
                <c:pt idx="23">
                  <c:v>466.71540657989681</c:v>
                </c:pt>
                <c:pt idx="24">
                  <c:v>195.2643917655223</c:v>
                </c:pt>
                <c:pt idx="25">
                  <c:v>-232.06599984496279</c:v>
                </c:pt>
                <c:pt idx="26">
                  <c:v>-164.23633207277817</c:v>
                </c:pt>
                <c:pt idx="27">
                  <c:v>-125.83700569266512</c:v>
                </c:pt>
                <c:pt idx="28">
                  <c:v>-89.833078443712111</c:v>
                </c:pt>
                <c:pt idx="29">
                  <c:v>-83.990000000039799</c:v>
                </c:pt>
                <c:pt idx="30">
                  <c:v>-348.27885727536341</c:v>
                </c:pt>
                <c:pt idx="31">
                  <c:v>-163.67584693662138</c:v>
                </c:pt>
                <c:pt idx="32">
                  <c:v>-260.19808923592791</c:v>
                </c:pt>
                <c:pt idx="33">
                  <c:v>-169.93742225695314</c:v>
                </c:pt>
                <c:pt idx="34">
                  <c:v>-173.91736036006478</c:v>
                </c:pt>
                <c:pt idx="35">
                  <c:v>-345.89582630505902</c:v>
                </c:pt>
                <c:pt idx="36">
                  <c:v>-305.86952773956</c:v>
                </c:pt>
                <c:pt idx="37">
                  <c:v>-393.83974164011306</c:v>
                </c:pt>
                <c:pt idx="38">
                  <c:v>-117.80505735559927</c:v>
                </c:pt>
                <c:pt idx="39">
                  <c:v>-225.77148539839982</c:v>
                </c:pt>
                <c:pt idx="40">
                  <c:v>-305.73675520718098</c:v>
                </c:pt>
                <c:pt idx="41">
                  <c:v>-245.69938330023433</c:v>
                </c:pt>
                <c:pt idx="42">
                  <c:v>-197.66083459599031</c:v>
                </c:pt>
                <c:pt idx="43">
                  <c:v>-93.622187545406632</c:v>
                </c:pt>
                <c:pt idx="44">
                  <c:v>-209.58553275631857</c:v>
                </c:pt>
                <c:pt idx="45">
                  <c:v>-233.54835173558968</c:v>
                </c:pt>
                <c:pt idx="46">
                  <c:v>-453.51021785099874</c:v>
                </c:pt>
                <c:pt idx="47">
                  <c:v>-109.46682714802591</c:v>
                </c:pt>
                <c:pt idx="48">
                  <c:v>-141.42558618023031</c:v>
                </c:pt>
                <c:pt idx="49">
                  <c:v>-169.38564079728167</c:v>
                </c:pt>
                <c:pt idx="50">
                  <c:v>-137.3463022397118</c:v>
                </c:pt>
                <c:pt idx="51">
                  <c:v>-89.30815061200974</c:v>
                </c:pt>
                <c:pt idx="52">
                  <c:v>-313.27202798347571</c:v>
                </c:pt>
                <c:pt idx="53">
                  <c:v>-453.23325217759702</c:v>
                </c:pt>
                <c:pt idx="54">
                  <c:v>-337.18928928901732</c:v>
                </c:pt>
                <c:pt idx="55">
                  <c:v>-165.14297890125818</c:v>
                </c:pt>
                <c:pt idx="56">
                  <c:v>-125.09799669337553</c:v>
                </c:pt>
                <c:pt idx="57">
                  <c:v>-89.055010746301377</c:v>
                </c:pt>
              </c:numCache>
            </c:numRef>
          </c:val>
          <c:smooth val="1"/>
          <c:extLst>
            <c:ext xmlns:c16="http://schemas.microsoft.com/office/drawing/2014/chart" uri="{C3380CC4-5D6E-409C-BE32-E72D297353CC}">
              <c16:uniqueId val="{00000002-555A-5447-BB5E-677DC7C14DF7}"/>
            </c:ext>
          </c:extLst>
        </c:ser>
        <c:ser>
          <c:idx val="3"/>
          <c:order val="3"/>
          <c:tx>
            <c:strRef>
              <c:f>'Plot momentum'!$K$2</c:f>
              <c:strCache>
                <c:ptCount val="1"/>
                <c:pt idx="0">
                  <c:v>mom</c:v>
                </c:pt>
              </c:strCache>
            </c:strRef>
          </c:tx>
          <c:spPr>
            <a:ln w="28575" cap="rnd">
              <a:solidFill>
                <a:schemeClr val="accent4"/>
              </a:solidFill>
              <a:round/>
            </a:ln>
            <a:effectLst/>
          </c:spPr>
          <c:marker>
            <c:symbol val="none"/>
          </c:marker>
          <c:val>
            <c:numRef>
              <c:f>'Plot momentum'!$K$3:$K$60</c:f>
              <c:numCache>
                <c:formatCode>0.00</c:formatCode>
                <c:ptCount val="58"/>
                <c:pt idx="0">
                  <c:v>-8.3990000000039782</c:v>
                </c:pt>
                <c:pt idx="1">
                  <c:v>-29.934438711248269</c:v>
                </c:pt>
                <c:pt idx="2">
                  <c:v>-35.383398270193034</c:v>
                </c:pt>
                <c:pt idx="3">
                  <c:v>-36.813468706133833</c:v>
                </c:pt>
                <c:pt idx="4">
                  <c:v>-34.32435273013381</c:v>
                </c:pt>
                <c:pt idx="5">
                  <c:v>-27.547274638421587</c:v>
                </c:pt>
                <c:pt idx="6">
                  <c:v>1.2718760882534248</c:v>
                </c:pt>
                <c:pt idx="7">
                  <c:v>11.661296047734506</c:v>
                </c:pt>
                <c:pt idx="8">
                  <c:v>8.3595758675542751</c:v>
                </c:pt>
                <c:pt idx="9">
                  <c:v>0.38003796751255692</c:v>
                </c:pt>
                <c:pt idx="10">
                  <c:v>-13.97086303233775</c:v>
                </c:pt>
                <c:pt idx="11">
                  <c:v>-34.401850896037189</c:v>
                </c:pt>
                <c:pt idx="12">
                  <c:v>-49.180765590270475</c:v>
                </c:pt>
                <c:pt idx="13">
                  <c:v>-58.638867176255516</c:v>
                </c:pt>
                <c:pt idx="14">
                  <c:v>-60.324146760744796</c:v>
                </c:pt>
                <c:pt idx="15">
                  <c:v>-66.756091853171114</c:v>
                </c:pt>
                <c:pt idx="16">
                  <c:v>-71.056976809095346</c:v>
                </c:pt>
                <c:pt idx="17">
                  <c:v>-72.956013052938857</c:v>
                </c:pt>
                <c:pt idx="18">
                  <c:v>-69.432619682511827</c:v>
                </c:pt>
                <c:pt idx="19">
                  <c:v>-61.393187731947904</c:v>
                </c:pt>
                <c:pt idx="20">
                  <c:v>-46.886164553502965</c:v>
                </c:pt>
                <c:pt idx="21">
                  <c:v>-35.029279054609468</c:v>
                </c:pt>
                <c:pt idx="22">
                  <c:v>-31.041847226508967</c:v>
                </c:pt>
                <c:pt idx="23">
                  <c:v>18.733878154131602</c:v>
                </c:pt>
                <c:pt idx="24">
                  <c:v>36.386929515270666</c:v>
                </c:pt>
                <c:pt idx="25">
                  <c:v>9.5416365792473279</c:v>
                </c:pt>
                <c:pt idx="26">
                  <c:v>-7.8361602859552182</c:v>
                </c:pt>
                <c:pt idx="27">
                  <c:v>-19.636244826626204</c:v>
                </c:pt>
                <c:pt idx="28">
                  <c:v>-26.655928188334791</c:v>
                </c:pt>
                <c:pt idx="29">
                  <c:v>-32.389335369505289</c:v>
                </c:pt>
                <c:pt idx="30">
                  <c:v>-63.97828756009109</c:v>
                </c:pt>
                <c:pt idx="31">
                  <c:v>-73.948043497744123</c:v>
                </c:pt>
                <c:pt idx="32">
                  <c:v>-92.573048071562511</c:v>
                </c:pt>
                <c:pt idx="33">
                  <c:v>-100.30948549010158</c:v>
                </c:pt>
                <c:pt idx="34">
                  <c:v>-107.67027297709789</c:v>
                </c:pt>
                <c:pt idx="35">
                  <c:v>-131.49282830989401</c:v>
                </c:pt>
                <c:pt idx="36">
                  <c:v>-148.93049825286062</c:v>
                </c:pt>
                <c:pt idx="37">
                  <c:v>-173.42142259158587</c:v>
                </c:pt>
                <c:pt idx="38">
                  <c:v>-167.85978606798722</c:v>
                </c:pt>
                <c:pt idx="39">
                  <c:v>-173.65095600102848</c:v>
                </c:pt>
                <c:pt idx="40">
                  <c:v>-186.85953592164373</c:v>
                </c:pt>
                <c:pt idx="41">
                  <c:v>-192.74352065950279</c:v>
                </c:pt>
                <c:pt idx="42">
                  <c:v>-193.23525205315156</c:v>
                </c:pt>
                <c:pt idx="43">
                  <c:v>-183.27394560237707</c:v>
                </c:pt>
                <c:pt idx="44">
                  <c:v>-185.90510431777122</c:v>
                </c:pt>
                <c:pt idx="45">
                  <c:v>-190.66942905955307</c:v>
                </c:pt>
                <c:pt idx="46">
                  <c:v>-216.95350793869764</c:v>
                </c:pt>
                <c:pt idx="47">
                  <c:v>-206.20483985963048</c:v>
                </c:pt>
                <c:pt idx="48">
                  <c:v>-199.72691449169048</c:v>
                </c:pt>
                <c:pt idx="49">
                  <c:v>-196.6927871222496</c:v>
                </c:pt>
                <c:pt idx="50">
                  <c:v>-190.75813863399583</c:v>
                </c:pt>
                <c:pt idx="51">
                  <c:v>-180.61313983179721</c:v>
                </c:pt>
                <c:pt idx="52">
                  <c:v>-193.87902864696505</c:v>
                </c:pt>
                <c:pt idx="53">
                  <c:v>-219.81445100002824</c:v>
                </c:pt>
                <c:pt idx="54">
                  <c:v>-231.55193482892716</c:v>
                </c:pt>
                <c:pt idx="55">
                  <c:v>-224.91103923616026</c:v>
                </c:pt>
                <c:pt idx="56">
                  <c:v>-214.92973498188181</c:v>
                </c:pt>
                <c:pt idx="57">
                  <c:v>-202.34226255832377</c:v>
                </c:pt>
              </c:numCache>
            </c:numRef>
          </c:val>
          <c:smooth val="0"/>
          <c:extLst>
            <c:ext xmlns:c16="http://schemas.microsoft.com/office/drawing/2014/chart" uri="{C3380CC4-5D6E-409C-BE32-E72D297353CC}">
              <c16:uniqueId val="{00000003-555A-5447-BB5E-677DC7C14DF7}"/>
            </c:ext>
          </c:extLst>
        </c:ser>
        <c:dLbls>
          <c:showLegendKey val="0"/>
          <c:showVal val="0"/>
          <c:showCatName val="0"/>
          <c:showSerName val="0"/>
          <c:showPercent val="0"/>
          <c:showBubbleSize val="0"/>
        </c:dLbls>
        <c:smooth val="0"/>
        <c:axId val="211277616"/>
        <c:axId val="211279264"/>
      </c:lineChart>
      <c:catAx>
        <c:axId val="211277616"/>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11279264"/>
        <c:crosses val="autoZero"/>
        <c:auto val="1"/>
        <c:lblAlgn val="ctr"/>
        <c:lblOffset val="100"/>
        <c:tickLblSkip val="5"/>
        <c:tickMarkSkip val="1"/>
        <c:noMultiLvlLbl val="0"/>
      </c:catAx>
      <c:valAx>
        <c:axId val="211279264"/>
        <c:scaling>
          <c:orientation val="minMax"/>
          <c:max val="500"/>
          <c:min val="-5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112776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Momentum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tx>
            <c:strRef>
              <c:f>'Plot momentum'!$B$2</c:f>
              <c:strCache>
                <c:ptCount val="1"/>
                <c:pt idx="0">
                  <c:v>sin</c:v>
                </c:pt>
              </c:strCache>
            </c:strRef>
          </c:tx>
          <c:spPr>
            <a:ln w="28575" cap="rnd">
              <a:solidFill>
                <a:schemeClr val="accent1"/>
              </a:solidFill>
              <a:round/>
            </a:ln>
            <a:effectLst/>
          </c:spPr>
          <c:marker>
            <c:symbol val="none"/>
          </c:marker>
          <c:cat>
            <c:numRef>
              <c:f>'Plot momentum'!$A$3:$A$60</c:f>
              <c:numCache>
                <c:formatCode>General</c:formatCode>
                <c:ptCount val="58"/>
                <c:pt idx="0">
                  <c:v>-20</c:v>
                </c:pt>
                <c:pt idx="1">
                  <c:v>-19</c:v>
                </c:pt>
                <c:pt idx="2">
                  <c:v>-18</c:v>
                </c:pt>
                <c:pt idx="3">
                  <c:v>-17</c:v>
                </c:pt>
                <c:pt idx="4">
                  <c:v>-16</c:v>
                </c:pt>
                <c:pt idx="5">
                  <c:v>-15</c:v>
                </c:pt>
                <c:pt idx="6">
                  <c:v>-14</c:v>
                </c:pt>
                <c:pt idx="7">
                  <c:v>-13</c:v>
                </c:pt>
                <c:pt idx="8">
                  <c:v>-12</c:v>
                </c:pt>
                <c:pt idx="9">
                  <c:v>-11</c:v>
                </c:pt>
                <c:pt idx="10">
                  <c:v>-10</c:v>
                </c:pt>
                <c:pt idx="11">
                  <c:v>-9</c:v>
                </c:pt>
                <c:pt idx="12">
                  <c:v>-8</c:v>
                </c:pt>
                <c:pt idx="13">
                  <c:v>-7</c:v>
                </c:pt>
                <c:pt idx="14">
                  <c:v>-6</c:v>
                </c:pt>
                <c:pt idx="15">
                  <c:v>-5</c:v>
                </c:pt>
                <c:pt idx="16">
                  <c:v>-4</c:v>
                </c:pt>
                <c:pt idx="17">
                  <c:v>-3</c:v>
                </c:pt>
                <c:pt idx="18">
                  <c:v>-2</c:v>
                </c:pt>
                <c:pt idx="19">
                  <c:v>-1</c:v>
                </c:pt>
                <c:pt idx="20">
                  <c:v>0</c:v>
                </c:pt>
                <c:pt idx="21">
                  <c:v>1</c:v>
                </c:pt>
                <c:pt idx="22">
                  <c:v>2</c:v>
                </c:pt>
                <c:pt idx="23">
                  <c:v>3</c:v>
                </c:pt>
                <c:pt idx="24">
                  <c:v>4</c:v>
                </c:pt>
                <c:pt idx="25">
                  <c:v>5</c:v>
                </c:pt>
                <c:pt idx="26">
                  <c:v>6</c:v>
                </c:pt>
                <c:pt idx="27">
                  <c:v>7</c:v>
                </c:pt>
                <c:pt idx="28">
                  <c:v>8</c:v>
                </c:pt>
                <c:pt idx="29">
                  <c:v>9</c:v>
                </c:pt>
                <c:pt idx="30">
                  <c:v>10</c:v>
                </c:pt>
                <c:pt idx="31">
                  <c:v>11</c:v>
                </c:pt>
                <c:pt idx="32">
                  <c:v>12</c:v>
                </c:pt>
                <c:pt idx="33">
                  <c:v>13</c:v>
                </c:pt>
                <c:pt idx="34">
                  <c:v>14</c:v>
                </c:pt>
                <c:pt idx="35">
                  <c:v>15</c:v>
                </c:pt>
                <c:pt idx="36">
                  <c:v>16</c:v>
                </c:pt>
                <c:pt idx="37">
                  <c:v>17</c:v>
                </c:pt>
                <c:pt idx="38">
                  <c:v>18</c:v>
                </c:pt>
                <c:pt idx="39">
                  <c:v>19</c:v>
                </c:pt>
                <c:pt idx="40">
                  <c:v>20</c:v>
                </c:pt>
                <c:pt idx="41">
                  <c:v>21</c:v>
                </c:pt>
                <c:pt idx="42">
                  <c:v>22</c:v>
                </c:pt>
                <c:pt idx="43">
                  <c:v>23</c:v>
                </c:pt>
                <c:pt idx="44">
                  <c:v>24</c:v>
                </c:pt>
                <c:pt idx="45">
                  <c:v>25</c:v>
                </c:pt>
                <c:pt idx="46">
                  <c:v>26</c:v>
                </c:pt>
                <c:pt idx="47">
                  <c:v>27</c:v>
                </c:pt>
                <c:pt idx="48">
                  <c:v>28</c:v>
                </c:pt>
                <c:pt idx="49">
                  <c:v>29</c:v>
                </c:pt>
                <c:pt idx="50">
                  <c:v>30</c:v>
                </c:pt>
                <c:pt idx="51">
                  <c:v>31</c:v>
                </c:pt>
                <c:pt idx="52">
                  <c:v>32</c:v>
                </c:pt>
                <c:pt idx="53">
                  <c:v>33</c:v>
                </c:pt>
                <c:pt idx="54">
                  <c:v>34</c:v>
                </c:pt>
                <c:pt idx="55">
                  <c:v>35</c:v>
                </c:pt>
                <c:pt idx="56">
                  <c:v>36</c:v>
                </c:pt>
                <c:pt idx="57">
                  <c:v>37</c:v>
                </c:pt>
              </c:numCache>
            </c:numRef>
          </c:cat>
          <c:val>
            <c:numRef>
              <c:f>'Plot momentum'!$B$3:$B$60</c:f>
              <c:numCache>
                <c:formatCode>General</c:formatCode>
                <c:ptCount val="58"/>
                <c:pt idx="0">
                  <c:v>-0.91294525072762767</c:v>
                </c:pt>
                <c:pt idx="1">
                  <c:v>-0.14987720966295234</c:v>
                </c:pt>
                <c:pt idx="2">
                  <c:v>0.75098724677167605</c:v>
                </c:pt>
                <c:pt idx="3">
                  <c:v>0.96139749187955681</c:v>
                </c:pt>
                <c:pt idx="4">
                  <c:v>0.2879033166650653</c:v>
                </c:pt>
                <c:pt idx="5">
                  <c:v>-0.65028784015711683</c:v>
                </c:pt>
                <c:pt idx="6">
                  <c:v>-0.99060735569487035</c:v>
                </c:pt>
                <c:pt idx="7">
                  <c:v>-0.42016703682664092</c:v>
                </c:pt>
                <c:pt idx="8">
                  <c:v>0.53657291800043494</c:v>
                </c:pt>
                <c:pt idx="9">
                  <c:v>0.99999020655070348</c:v>
                </c:pt>
                <c:pt idx="10">
                  <c:v>0.54402111088936977</c:v>
                </c:pt>
                <c:pt idx="11">
                  <c:v>-0.41211848524175659</c:v>
                </c:pt>
                <c:pt idx="12">
                  <c:v>-0.98935824662338179</c:v>
                </c:pt>
                <c:pt idx="13">
                  <c:v>-0.65698659871878906</c:v>
                </c:pt>
                <c:pt idx="14">
                  <c:v>0.27941549819892586</c:v>
                </c:pt>
                <c:pt idx="15">
                  <c:v>0.95892427466313845</c:v>
                </c:pt>
                <c:pt idx="16">
                  <c:v>0.7568024953079282</c:v>
                </c:pt>
                <c:pt idx="17">
                  <c:v>-0.14112000805986721</c:v>
                </c:pt>
                <c:pt idx="18">
                  <c:v>-0.90929742682568171</c:v>
                </c:pt>
                <c:pt idx="19">
                  <c:v>-0.8414709848078965</c:v>
                </c:pt>
                <c:pt idx="20">
                  <c:v>0</c:v>
                </c:pt>
                <c:pt idx="21">
                  <c:v>0.8414709848078965</c:v>
                </c:pt>
                <c:pt idx="22">
                  <c:v>0.90929742682568171</c:v>
                </c:pt>
                <c:pt idx="23">
                  <c:v>0.14112000805986721</c:v>
                </c:pt>
                <c:pt idx="24">
                  <c:v>-0.7568024953079282</c:v>
                </c:pt>
                <c:pt idx="25">
                  <c:v>-0.95892427466313845</c:v>
                </c:pt>
                <c:pt idx="26">
                  <c:v>-0.27941549819892586</c:v>
                </c:pt>
                <c:pt idx="27">
                  <c:v>0.65698659871878906</c:v>
                </c:pt>
                <c:pt idx="28">
                  <c:v>0.98935824662338179</c:v>
                </c:pt>
                <c:pt idx="29">
                  <c:v>0.41211848524175659</c:v>
                </c:pt>
                <c:pt idx="30">
                  <c:v>-0.54402111088936977</c:v>
                </c:pt>
                <c:pt idx="31">
                  <c:v>-0.99999020655070348</c:v>
                </c:pt>
                <c:pt idx="32">
                  <c:v>-0.53657291800043494</c:v>
                </c:pt>
                <c:pt idx="33">
                  <c:v>0.42016703682664092</c:v>
                </c:pt>
                <c:pt idx="34">
                  <c:v>0.99060735569487035</c:v>
                </c:pt>
                <c:pt idx="35">
                  <c:v>0.65028784015711683</c:v>
                </c:pt>
                <c:pt idx="36">
                  <c:v>-0.2879033166650653</c:v>
                </c:pt>
                <c:pt idx="37">
                  <c:v>-0.96139749187955681</c:v>
                </c:pt>
                <c:pt idx="38">
                  <c:v>-0.75098724677167605</c:v>
                </c:pt>
                <c:pt idx="39">
                  <c:v>0.14987720966295234</c:v>
                </c:pt>
                <c:pt idx="40">
                  <c:v>0.91294525072762767</c:v>
                </c:pt>
                <c:pt idx="41">
                  <c:v>0.83665563853605607</c:v>
                </c:pt>
                <c:pt idx="42">
                  <c:v>-8.8513092904038762E-3</c:v>
                </c:pt>
                <c:pt idx="43">
                  <c:v>-0.84622040417517064</c:v>
                </c:pt>
                <c:pt idx="44">
                  <c:v>-0.90557836200662389</c:v>
                </c:pt>
                <c:pt idx="45">
                  <c:v>-0.13235175009777303</c:v>
                </c:pt>
                <c:pt idx="46">
                  <c:v>0.76255845047960269</c:v>
                </c:pt>
                <c:pt idx="47">
                  <c:v>0.95637592840450303</c:v>
                </c:pt>
                <c:pt idx="48">
                  <c:v>0.27090578830786904</c:v>
                </c:pt>
                <c:pt idx="49">
                  <c:v>-0.66363388421296754</c:v>
                </c:pt>
                <c:pt idx="50">
                  <c:v>-0.98803162409286183</c:v>
                </c:pt>
                <c:pt idx="51">
                  <c:v>-0.40403764532306502</c:v>
                </c:pt>
                <c:pt idx="52">
                  <c:v>0.55142668124169059</c:v>
                </c:pt>
                <c:pt idx="53">
                  <c:v>0.99991186010726718</c:v>
                </c:pt>
                <c:pt idx="54">
                  <c:v>0.52908268612002385</c:v>
                </c:pt>
                <c:pt idx="55">
                  <c:v>-0.42818266949615102</c:v>
                </c:pt>
                <c:pt idx="56">
                  <c:v>-0.99177885344311578</c:v>
                </c:pt>
                <c:pt idx="57">
                  <c:v>-0.6435381333569995</c:v>
                </c:pt>
              </c:numCache>
            </c:numRef>
          </c:val>
          <c:smooth val="0"/>
          <c:extLst>
            <c:ext xmlns:c16="http://schemas.microsoft.com/office/drawing/2014/chart" uri="{C3380CC4-5D6E-409C-BE32-E72D297353CC}">
              <c16:uniqueId val="{00000000-6612-BC4A-B581-0DBFE2955F8A}"/>
            </c:ext>
          </c:extLst>
        </c:ser>
        <c:ser>
          <c:idx val="1"/>
          <c:order val="1"/>
          <c:tx>
            <c:strRef>
              <c:f>'Plot momentum'!$C$2</c:f>
              <c:strCache>
                <c:ptCount val="1"/>
                <c:pt idx="0">
                  <c:v>mom</c:v>
                </c:pt>
              </c:strCache>
            </c:strRef>
          </c:tx>
          <c:spPr>
            <a:ln w="28575" cap="rnd">
              <a:solidFill>
                <a:schemeClr val="accent2"/>
              </a:solidFill>
              <a:round/>
            </a:ln>
            <a:effectLst/>
          </c:spPr>
          <c:marker>
            <c:symbol val="none"/>
          </c:marker>
          <c:cat>
            <c:numRef>
              <c:f>'Plot momentum'!$A$3:$A$60</c:f>
              <c:numCache>
                <c:formatCode>General</c:formatCode>
                <c:ptCount val="58"/>
                <c:pt idx="0">
                  <c:v>-20</c:v>
                </c:pt>
                <c:pt idx="1">
                  <c:v>-19</c:v>
                </c:pt>
                <c:pt idx="2">
                  <c:v>-18</c:v>
                </c:pt>
                <c:pt idx="3">
                  <c:v>-17</c:v>
                </c:pt>
                <c:pt idx="4">
                  <c:v>-16</c:v>
                </c:pt>
                <c:pt idx="5">
                  <c:v>-15</c:v>
                </c:pt>
                <c:pt idx="6">
                  <c:v>-14</c:v>
                </c:pt>
                <c:pt idx="7">
                  <c:v>-13</c:v>
                </c:pt>
                <c:pt idx="8">
                  <c:v>-12</c:v>
                </c:pt>
                <c:pt idx="9">
                  <c:v>-11</c:v>
                </c:pt>
                <c:pt idx="10">
                  <c:v>-10</c:v>
                </c:pt>
                <c:pt idx="11">
                  <c:v>-9</c:v>
                </c:pt>
                <c:pt idx="12">
                  <c:v>-8</c:v>
                </c:pt>
                <c:pt idx="13">
                  <c:v>-7</c:v>
                </c:pt>
                <c:pt idx="14">
                  <c:v>-6</c:v>
                </c:pt>
                <c:pt idx="15">
                  <c:v>-5</c:v>
                </c:pt>
                <c:pt idx="16">
                  <c:v>-4</c:v>
                </c:pt>
                <c:pt idx="17">
                  <c:v>-3</c:v>
                </c:pt>
                <c:pt idx="18">
                  <c:v>-2</c:v>
                </c:pt>
                <c:pt idx="19">
                  <c:v>-1</c:v>
                </c:pt>
                <c:pt idx="20">
                  <c:v>0</c:v>
                </c:pt>
                <c:pt idx="21">
                  <c:v>1</c:v>
                </c:pt>
                <c:pt idx="22">
                  <c:v>2</c:v>
                </c:pt>
                <c:pt idx="23">
                  <c:v>3</c:v>
                </c:pt>
                <c:pt idx="24">
                  <c:v>4</c:v>
                </c:pt>
                <c:pt idx="25">
                  <c:v>5</c:v>
                </c:pt>
                <c:pt idx="26">
                  <c:v>6</c:v>
                </c:pt>
                <c:pt idx="27">
                  <c:v>7</c:v>
                </c:pt>
                <c:pt idx="28">
                  <c:v>8</c:v>
                </c:pt>
                <c:pt idx="29">
                  <c:v>9</c:v>
                </c:pt>
                <c:pt idx="30">
                  <c:v>10</c:v>
                </c:pt>
                <c:pt idx="31">
                  <c:v>11</c:v>
                </c:pt>
                <c:pt idx="32">
                  <c:v>12</c:v>
                </c:pt>
                <c:pt idx="33">
                  <c:v>13</c:v>
                </c:pt>
                <c:pt idx="34">
                  <c:v>14</c:v>
                </c:pt>
                <c:pt idx="35">
                  <c:v>15</c:v>
                </c:pt>
                <c:pt idx="36">
                  <c:v>16</c:v>
                </c:pt>
                <c:pt idx="37">
                  <c:v>17</c:v>
                </c:pt>
                <c:pt idx="38">
                  <c:v>18</c:v>
                </c:pt>
                <c:pt idx="39">
                  <c:v>19</c:v>
                </c:pt>
                <c:pt idx="40">
                  <c:v>20</c:v>
                </c:pt>
                <c:pt idx="41">
                  <c:v>21</c:v>
                </c:pt>
                <c:pt idx="42">
                  <c:v>22</c:v>
                </c:pt>
                <c:pt idx="43">
                  <c:v>23</c:v>
                </c:pt>
                <c:pt idx="44">
                  <c:v>24</c:v>
                </c:pt>
                <c:pt idx="45">
                  <c:v>25</c:v>
                </c:pt>
                <c:pt idx="46">
                  <c:v>26</c:v>
                </c:pt>
                <c:pt idx="47">
                  <c:v>27</c:v>
                </c:pt>
                <c:pt idx="48">
                  <c:v>28</c:v>
                </c:pt>
                <c:pt idx="49">
                  <c:v>29</c:v>
                </c:pt>
                <c:pt idx="50">
                  <c:v>30</c:v>
                </c:pt>
                <c:pt idx="51">
                  <c:v>31</c:v>
                </c:pt>
                <c:pt idx="52">
                  <c:v>32</c:v>
                </c:pt>
                <c:pt idx="53">
                  <c:v>33</c:v>
                </c:pt>
                <c:pt idx="54">
                  <c:v>34</c:v>
                </c:pt>
                <c:pt idx="55">
                  <c:v>35</c:v>
                </c:pt>
                <c:pt idx="56">
                  <c:v>36</c:v>
                </c:pt>
                <c:pt idx="57">
                  <c:v>37</c:v>
                </c:pt>
              </c:numCache>
            </c:numRef>
          </c:cat>
          <c:val>
            <c:numRef>
              <c:f>'Plot momentum'!$C$3:$C$60</c:f>
              <c:numCache>
                <c:formatCode>General</c:formatCode>
                <c:ptCount val="58"/>
                <c:pt idx="0">
                  <c:v>-9.1294525072762769E-2</c:v>
                </c:pt>
                <c:pt idx="1">
                  <c:v>-9.7152793531781731E-2</c:v>
                </c:pt>
                <c:pt idx="2">
                  <c:v>-1.2338789501435951E-2</c:v>
                </c:pt>
                <c:pt idx="3">
                  <c:v>8.5034838636663335E-2</c:v>
                </c:pt>
                <c:pt idx="4">
                  <c:v>0.10532168643950354</c:v>
                </c:pt>
                <c:pt idx="5">
                  <c:v>2.9760733779841508E-2</c:v>
                </c:pt>
                <c:pt idx="6">
                  <c:v>-7.2276075167629683E-2</c:v>
                </c:pt>
                <c:pt idx="7">
                  <c:v>-0.10706517133353081</c:v>
                </c:pt>
                <c:pt idx="8">
                  <c:v>-4.2701362400134238E-2</c:v>
                </c:pt>
                <c:pt idx="9">
                  <c:v>6.1567794494949535E-2</c:v>
                </c:pt>
                <c:pt idx="10">
                  <c:v>0.10981312613439156</c:v>
                </c:pt>
                <c:pt idx="11">
                  <c:v>5.7619964996776747E-2</c:v>
                </c:pt>
                <c:pt idx="12">
                  <c:v>-4.7077856165239115E-2</c:v>
                </c:pt>
                <c:pt idx="13">
                  <c:v>-0.10806873042059412</c:v>
                </c:pt>
                <c:pt idx="14">
                  <c:v>-6.932030755864213E-2</c:v>
                </c:pt>
                <c:pt idx="15">
                  <c:v>3.3504150663535931E-2</c:v>
                </c:pt>
                <c:pt idx="16">
                  <c:v>0.10583398512797518</c:v>
                </c:pt>
                <c:pt idx="17">
                  <c:v>8.1138585809190936E-2</c:v>
                </c:pt>
                <c:pt idx="18">
                  <c:v>-1.7905015454296333E-2</c:v>
                </c:pt>
                <c:pt idx="19">
                  <c:v>-0.10026161238965636</c:v>
                </c:pt>
                <c:pt idx="20">
                  <c:v>-9.0235451150690732E-2</c:v>
                </c:pt>
                <c:pt idx="21">
                  <c:v>2.9351924451680028E-3</c:v>
                </c:pt>
                <c:pt idx="22">
                  <c:v>9.3571415883219378E-2</c:v>
                </c:pt>
                <c:pt idx="23">
                  <c:v>9.8326275100884167E-2</c:v>
                </c:pt>
                <c:pt idx="24">
                  <c:v>1.2813398060002923E-2</c:v>
                </c:pt>
                <c:pt idx="25">
                  <c:v>-8.4360369212311215E-2</c:v>
                </c:pt>
                <c:pt idx="26">
                  <c:v>-0.1038658821109727</c:v>
                </c:pt>
                <c:pt idx="27">
                  <c:v>-2.778063402799652E-2</c:v>
                </c:pt>
                <c:pt idx="28">
                  <c:v>7.3933254037141322E-2</c:v>
                </c:pt>
                <c:pt idx="29">
                  <c:v>0.10775177715760287</c:v>
                </c:pt>
                <c:pt idx="30">
                  <c:v>4.2574488352905608E-2</c:v>
                </c:pt>
                <c:pt idx="31">
                  <c:v>-6.1681981137455308E-2</c:v>
                </c:pt>
                <c:pt idx="32">
                  <c:v>-0.10917107482375328</c:v>
                </c:pt>
                <c:pt idx="33">
                  <c:v>-5.6237263658713857E-2</c:v>
                </c:pt>
                <c:pt idx="34">
                  <c:v>4.8447198276644565E-2</c:v>
                </c:pt>
                <c:pt idx="35">
                  <c:v>0.10863126246469179</c:v>
                </c:pt>
                <c:pt idx="36">
                  <c:v>6.8977804551716079E-2</c:v>
                </c:pt>
                <c:pt idx="37">
                  <c:v>-3.4059725091411218E-2</c:v>
                </c:pt>
                <c:pt idx="38">
                  <c:v>-0.1057524772594377</c:v>
                </c:pt>
                <c:pt idx="39">
                  <c:v>-8.0189508567198697E-2</c:v>
                </c:pt>
                <c:pt idx="40">
                  <c:v>1.9123967362283945E-2</c:v>
                </c:pt>
                <c:pt idx="41">
                  <c:v>0.10087713447966117</c:v>
                </c:pt>
                <c:pt idx="42">
                  <c:v>8.990429010265466E-2</c:v>
                </c:pt>
                <c:pt idx="43">
                  <c:v>-3.708179325127875E-3</c:v>
                </c:pt>
                <c:pt idx="44">
                  <c:v>-9.3895197593277482E-2</c:v>
                </c:pt>
                <c:pt idx="45">
                  <c:v>-9.7740852843727036E-2</c:v>
                </c:pt>
                <c:pt idx="46">
                  <c:v>-1.1710922511394051E-2</c:v>
                </c:pt>
                <c:pt idx="47">
                  <c:v>8.5097762580195663E-2</c:v>
                </c:pt>
                <c:pt idx="48">
                  <c:v>0.103678565152963</c:v>
                </c:pt>
                <c:pt idx="49">
                  <c:v>2.6947320216369947E-2</c:v>
                </c:pt>
                <c:pt idx="50">
                  <c:v>-7.4550574214553231E-2</c:v>
                </c:pt>
                <c:pt idx="51">
                  <c:v>-0.10749928132540443</c:v>
                </c:pt>
                <c:pt idx="52">
                  <c:v>-4.1606685068694922E-2</c:v>
                </c:pt>
                <c:pt idx="53">
                  <c:v>6.2545169448901289E-2</c:v>
                </c:pt>
                <c:pt idx="54">
                  <c:v>0.10919892111601355</c:v>
                </c:pt>
                <c:pt idx="55">
                  <c:v>5.5460762054797094E-2</c:v>
                </c:pt>
                <c:pt idx="56">
                  <c:v>-4.9263199494994199E-2</c:v>
                </c:pt>
                <c:pt idx="57">
                  <c:v>-0.10869069288119473</c:v>
                </c:pt>
              </c:numCache>
            </c:numRef>
          </c:val>
          <c:smooth val="0"/>
          <c:extLst>
            <c:ext xmlns:c16="http://schemas.microsoft.com/office/drawing/2014/chart" uri="{C3380CC4-5D6E-409C-BE32-E72D297353CC}">
              <c16:uniqueId val="{00000001-6612-BC4A-B581-0DBFE2955F8A}"/>
            </c:ext>
          </c:extLst>
        </c:ser>
        <c:dLbls>
          <c:showLegendKey val="0"/>
          <c:showVal val="0"/>
          <c:showCatName val="0"/>
          <c:showSerName val="0"/>
          <c:showPercent val="0"/>
          <c:showBubbleSize val="0"/>
        </c:dLbls>
        <c:smooth val="0"/>
        <c:axId val="230086416"/>
        <c:axId val="233915824"/>
      </c:lineChart>
      <c:catAx>
        <c:axId val="23008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33915824"/>
        <c:crosses val="autoZero"/>
        <c:auto val="1"/>
        <c:lblAlgn val="ctr"/>
        <c:lblOffset val="100"/>
        <c:noMultiLvlLbl val="0"/>
      </c:catAx>
      <c:valAx>
        <c:axId val="23391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230086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13</xdr:col>
      <xdr:colOff>592991</xdr:colOff>
      <xdr:row>4</xdr:row>
      <xdr:rowOff>42006</xdr:rowOff>
    </xdr:from>
    <xdr:to>
      <xdr:col>21</xdr:col>
      <xdr:colOff>291122</xdr:colOff>
      <xdr:row>26</xdr:row>
      <xdr:rowOff>76200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150811</xdr:colOff>
      <xdr:row>36</xdr:row>
      <xdr:rowOff>59795</xdr:rowOff>
    </xdr:from>
    <xdr:to>
      <xdr:col>9</xdr:col>
      <xdr:colOff>537103</xdr:colOff>
      <xdr:row>51</xdr:row>
      <xdr:rowOff>24870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3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341923</xdr:colOff>
      <xdr:row>4</xdr:row>
      <xdr:rowOff>0</xdr:rowOff>
    </xdr:from>
    <xdr:to>
      <xdr:col>17</xdr:col>
      <xdr:colOff>78155</xdr:colOff>
      <xdr:row>8</xdr:row>
      <xdr:rowOff>58615</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0023231" y="625231"/>
          <a:ext cx="1758462" cy="840153"/>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Use estimated derivatives instead of more accurate analystical derivatives can offer similar results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150811</xdr:colOff>
      <xdr:row>38</xdr:row>
      <xdr:rowOff>59795</xdr:rowOff>
    </xdr:from>
    <xdr:to>
      <xdr:col>11</xdr:col>
      <xdr:colOff>537103</xdr:colOff>
      <xdr:row>53</xdr:row>
      <xdr:rowOff>24870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xdr:row>
          <xdr:rowOff>63500</xdr:rowOff>
        </xdr:from>
        <xdr:to>
          <xdr:col>0</xdr:col>
          <xdr:colOff>730250</xdr:colOff>
          <xdr:row>3</xdr:row>
          <xdr:rowOff>31750</xdr:rowOff>
        </xdr:to>
        <xdr:sp macro="" textlink="">
          <xdr:nvSpPr>
            <xdr:cNvPr id="67597" name="Button 13" hidden="1">
              <a:extLst>
                <a:ext uri="{63B3BB69-23CF-44E3-9099-C40C66FF867C}">
                  <a14:compatExt spid="_x0000_s67597"/>
                </a:ext>
                <a:ext uri="{FF2B5EF4-FFF2-40B4-BE49-F238E27FC236}">
                  <a16:creationId xmlns:a16="http://schemas.microsoft.com/office/drawing/2014/main" id="{899FA395-5FAD-2683-27B0-3D8C27B45F7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13</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1693525" y="10687049"/>
          <a:ext cx="79565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0</xdr:col>
          <xdr:colOff>50800</xdr:colOff>
          <xdr:row>2</xdr:row>
          <xdr:rowOff>76200</xdr:rowOff>
        </xdr:from>
        <xdr:to>
          <xdr:col>0</xdr:col>
          <xdr:colOff>685800</xdr:colOff>
          <xdr:row>3</xdr:row>
          <xdr:rowOff>25400</xdr:rowOff>
        </xdr:to>
        <xdr:sp macro="" textlink="">
          <xdr:nvSpPr>
            <xdr:cNvPr id="71693" name="Button 13" hidden="1">
              <a:extLst>
                <a:ext uri="{63B3BB69-23CF-44E3-9099-C40C66FF867C}">
                  <a14:compatExt spid="_x0000_s71693"/>
                </a:ext>
                <a:ext uri="{FF2B5EF4-FFF2-40B4-BE49-F238E27FC236}">
                  <a16:creationId xmlns:a16="http://schemas.microsoft.com/office/drawing/2014/main" id="{EC865078-1BA6-173E-8FDB-E09BCA1DBE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13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8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0</xdr:col>
          <xdr:colOff>635000</xdr:colOff>
          <xdr:row>2</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8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38100</xdr:rowOff>
        </xdr:from>
        <xdr:to>
          <xdr:col>0</xdr:col>
          <xdr:colOff>624417</xdr:colOff>
          <xdr:row>2</xdr:row>
          <xdr:rowOff>10583</xdr:rowOff>
        </xdr:to>
        <xdr:sp macro="" textlink="">
          <xdr:nvSpPr>
            <xdr:cNvPr id="47108" name="Button 4" descr="run 1" hidden="1">
              <a:extLst>
                <a:ext uri="{63B3BB69-23CF-44E3-9099-C40C66FF867C}">
                  <a14:compatExt spid="_x0000_s47108"/>
                </a:ext>
                <a:ext uri="{FF2B5EF4-FFF2-40B4-BE49-F238E27FC236}">
                  <a16:creationId xmlns:a16="http://schemas.microsoft.com/office/drawing/2014/main" id="{87EFBDFA-00F4-FFB8-241D-5C691B819C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1CB368BA-61E3-4A40-845B-02E75BC9B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F8E0480F-5628-8840-84FC-AFBC20DC5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16C11798-6E85-754B-96F7-EB39769929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3" name="TextBox 2">
          <a:extLst>
            <a:ext uri="{FF2B5EF4-FFF2-40B4-BE49-F238E27FC236}">
              <a16:creationId xmlns:a16="http://schemas.microsoft.com/office/drawing/2014/main" id="{EB0E8813-D6C7-3844-BA4A-A9A8E9DCE625}"/>
            </a:ext>
          </a:extLst>
        </xdr:cNvPr>
        <xdr:cNvSpPr txBox="1"/>
      </xdr:nvSpPr>
      <xdr:spPr>
        <a:xfrm>
          <a:off x="16214725" y="10687049"/>
          <a:ext cx="79438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0</xdr:col>
          <xdr:colOff>63500</xdr:colOff>
          <xdr:row>2</xdr:row>
          <xdr:rowOff>88900</xdr:rowOff>
        </xdr:from>
        <xdr:to>
          <xdr:col>0</xdr:col>
          <xdr:colOff>698500</xdr:colOff>
          <xdr:row>3</xdr:row>
          <xdr:rowOff>88900</xdr:rowOff>
        </xdr:to>
        <xdr:sp macro="" textlink="">
          <xdr:nvSpPr>
            <xdr:cNvPr id="89101" name="Button 13" hidden="1">
              <a:extLst>
                <a:ext uri="{63B3BB69-23CF-44E3-9099-C40C66FF867C}">
                  <a14:compatExt spid="_x0000_s89101"/>
                </a:ext>
                <a:ext uri="{FF2B5EF4-FFF2-40B4-BE49-F238E27FC236}">
                  <a16:creationId xmlns:a16="http://schemas.microsoft.com/office/drawing/2014/main" id="{24BD1F14-CD4C-6004-58E1-85DC77BBB8B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13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342900</xdr:colOff>
      <xdr:row>1</xdr:row>
      <xdr:rowOff>50800</xdr:rowOff>
    </xdr:from>
    <xdr:to>
      <xdr:col>25</xdr:col>
      <xdr:colOff>88900</xdr:colOff>
      <xdr:row>41</xdr:row>
      <xdr:rowOff>63500</xdr:rowOff>
    </xdr:to>
    <xdr:graphicFrame macro="">
      <xdr:nvGraphicFramePr>
        <xdr:cNvPr id="5" name="Chart 4">
          <a:extLst>
            <a:ext uri="{FF2B5EF4-FFF2-40B4-BE49-F238E27FC236}">
              <a16:creationId xmlns:a16="http://schemas.microsoft.com/office/drawing/2014/main" id="{9C06EA39-1D39-FE30-20FC-F47E767A4C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436880</xdr:colOff>
      <xdr:row>27</xdr:row>
      <xdr:rowOff>162560</xdr:rowOff>
    </xdr:from>
    <xdr:to>
      <xdr:col>9</xdr:col>
      <xdr:colOff>1097280</xdr:colOff>
      <xdr:row>49</xdr:row>
      <xdr:rowOff>81280</xdr:rowOff>
    </xdr:to>
    <xdr:graphicFrame macro="">
      <xdr:nvGraphicFramePr>
        <xdr:cNvPr id="7" name="Chart 6">
          <a:extLst>
            <a:ext uri="{FF2B5EF4-FFF2-40B4-BE49-F238E27FC236}">
              <a16:creationId xmlns:a16="http://schemas.microsoft.com/office/drawing/2014/main" id="{438CEE99-AF08-9E8D-402C-DFAE32387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A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C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D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D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E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ao Daniel" id="{08B77041-7873-C942-AFC7-0B494135700B}" userId="80e3465a04bfd67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2-07-10T13:28:37.44" personId="{08B77041-7873-C942-AFC7-0B494135700B}" id="{824AD3A1-8D55-984B-B963-5046FABFA38C}">
    <text>We can see it as a single neuron (a neural network without networking)</text>
  </threadedComment>
  <threadedComment ref="B10" dT="2022-07-10T13:34:19.50" personId="{08B77041-7873-C942-AFC7-0B494135700B}" id="{60FD1385-4F44-B844-AE08-0524957D5FB2}">
    <text>The key questions is how to do the ‘update’</text>
  </threadedComment>
  <threadedComment ref="B10" dT="2022-07-10T13:37:34.55" personId="{08B77041-7873-C942-AFC7-0B494135700B}" id="{3373B293-AC29-5E47-995F-0F62563F42B2}" parentId="{60FD1385-4F44-B844-AE08-0524957D5FB2}">
    <text>In fact, this line describes both forward and backward operations (the essence of NN)</text>
  </threadedComment>
  <threadedComment ref="B19" dT="2022-07-10T13:39:21.05" personId="{08B77041-7873-C942-AFC7-0B494135700B}" id="{13358A2E-D0D0-0D40-85D1-B264AD808DB4}">
    <text>To test the universal concepts which can be applied in many cases including CV, we don’t have to use images as dataset. This way, we can run faster in excel</text>
  </threadedComment>
  <threadedComment ref="B30" dT="2022-07-10T13:46:33.14" personId="{08B77041-7873-C942-AFC7-0B494135700B}" id="{CFEDBBF2-1FE8-E04A-9325-61CE305D3234}">
    <text>I can add more optimization functions to test.</text>
  </threadedComment>
  <threadedComment ref="B30" dT="2022-07-10T13:49:47.42" personId="{08B77041-7873-C942-AFC7-0B494135700B}" id="{C5E55BCF-75DF-AC40-968D-2AEF784094C7}" parentId="{CFEDBBF2-1FE8-E04A-9325-61CE305D3234}">
    <text>How the different optimization functions are compared</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2-07-10T14:13:30.36" personId="{08B77041-7873-C942-AFC7-0B494135700B}" id="{5CFD5FA1-2E7E-9C48-BF1F-AE6A35E1232C}">
    <text>Increase intercept by 0.01, to see how error changes</text>
  </threadedComment>
  <threadedComment ref="I3" dT="2022-07-10T14:13:56.72" personId="{08B77041-7873-C942-AFC7-0B494135700B}" id="{F296575E-C434-DB42-9F6D-43A63184587A}">
    <text>Increase slop by 0.01 and see how error changes</text>
  </threadedComment>
</ThreadedComments>
</file>

<file path=xl/threadedComments/threadedComment3.xml><?xml version="1.0" encoding="utf-8"?>
<ThreadedComments xmlns="http://schemas.microsoft.com/office/spreadsheetml/2018/threadedcomments" xmlns:x="http://schemas.openxmlformats.org/spreadsheetml/2006/main">
  <threadedComment ref="G4" dT="2022-07-10T14:13:30.36" personId="{08B77041-7873-C942-AFC7-0B494135700B}" id="{7594B638-86BD-D54D-BE13-C32C9C33D79E}">
    <text>Increase intercept by 0.01, to see how error changes</text>
  </threadedComment>
  <threadedComment ref="I4" dT="2022-07-10T14:13:56.72" personId="{08B77041-7873-C942-AFC7-0B494135700B}" id="{68E31282-46DC-9F4B-8F73-16C9F58FDC19}">
    <text>Increase slop by 0.01 and see how error changes</text>
  </threadedComment>
</ThreadedComments>
</file>

<file path=xl/threadedComments/threadedComment4.xml><?xml version="1.0" encoding="utf-8"?>
<ThreadedComments xmlns="http://schemas.microsoft.com/office/spreadsheetml/2018/threadedcomments" xmlns:x="http://schemas.openxmlformats.org/spreadsheetml/2006/main">
  <threadedComment ref="I6" dT="2022-07-10T14:13:30.36" personId="{08B77041-7873-C942-AFC7-0B494135700B}" id="{2570C321-FD1E-0342-8231-37E33911166E}">
    <text>Increase intercept by 0.01, to see how error changes</text>
  </threadedComment>
  <threadedComment ref="K6" dT="2022-07-10T14:13:56.72" personId="{08B77041-7873-C942-AFC7-0B494135700B}" id="{3C6E658D-D437-6748-90EF-F2EDE9B582EA}">
    <text>Increase slop by 0.01 and see how error changes</text>
  </threadedComment>
</ThreadedComments>
</file>

<file path=xl/threadedComments/threadedComment5.xml><?xml version="1.0" encoding="utf-8"?>
<ThreadedComments xmlns="http://schemas.microsoft.com/office/spreadsheetml/2018/threadedcomments" xmlns:x="http://schemas.openxmlformats.org/spreadsheetml/2006/main">
  <threadedComment ref="I6" dT="2022-07-10T14:13:30.36" personId="{08B77041-7873-C942-AFC7-0B494135700B}" id="{DA7DC6A5-6107-1943-9FED-112DFD1B1957}">
    <text>Increase intercept by 0.01, to see how error changes</text>
  </threadedComment>
  <threadedComment ref="K6" dT="2022-07-10T14:13:56.72" personId="{08B77041-7873-C942-AFC7-0B494135700B}" id="{D21400FA-898D-BC43-A8AA-04A26FE376BB}">
    <text>Increase slop by 0.01 and see how error changes</text>
  </threadedComment>
</ThreadedComments>
</file>

<file path=xl/threadedComments/threadedComment6.xml><?xml version="1.0" encoding="utf-8"?>
<ThreadedComments xmlns="http://schemas.microsoft.com/office/spreadsheetml/2018/threadedcomments" xmlns:x="http://schemas.openxmlformats.org/spreadsheetml/2006/main">
  <threadedComment ref="I6" dT="2022-07-10T14:13:30.36" personId="{08B77041-7873-C942-AFC7-0B494135700B}" id="{88715C0C-4D9E-124F-B99F-AD197682BF96}">
    <text>Increase intercept by 0.01, to see how error changes</text>
  </threadedComment>
  <threadedComment ref="K6" dT="2022-07-10T14:13:56.72" personId="{08B77041-7873-C942-AFC7-0B494135700B}" id="{42822C04-D10E-7541-B2BB-091AC1B30453}">
    <text>Increase slop by 0.01 and see how error changes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6"/>
  <sheetViews>
    <sheetView topLeftCell="A24" zoomScaleNormal="100" workbookViewId="0">
      <selection activeCell="B33" sqref="B33"/>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2" x14ac:dyDescent="0.25">
      <c r="A1" s="13" t="s">
        <v>31</v>
      </c>
    </row>
    <row r="2" spans="1:2" x14ac:dyDescent="0.25">
      <c r="A2" s="14" t="s">
        <v>33</v>
      </c>
    </row>
    <row r="3" spans="1:2" x14ac:dyDescent="0.25">
      <c r="A3" s="14" t="s">
        <v>32</v>
      </c>
    </row>
    <row r="5" spans="1:2" x14ac:dyDescent="0.25">
      <c r="A5" s="16" t="s">
        <v>55</v>
      </c>
    </row>
    <row r="6" spans="1:2" x14ac:dyDescent="0.25">
      <c r="A6" s="17" t="s">
        <v>56</v>
      </c>
    </row>
    <row r="7" spans="1:2" x14ac:dyDescent="0.25">
      <c r="A7" s="13"/>
    </row>
    <row r="8" spans="1:2" x14ac:dyDescent="0.25">
      <c r="A8" s="13" t="s">
        <v>51</v>
      </c>
    </row>
    <row r="9" spans="1:2" x14ac:dyDescent="0.25">
      <c r="A9" s="14" t="s">
        <v>53</v>
      </c>
    </row>
    <row r="10" spans="1:2" x14ac:dyDescent="0.25">
      <c r="A10" s="14" t="s">
        <v>54</v>
      </c>
    </row>
    <row r="11" spans="1:2" x14ac:dyDescent="0.25">
      <c r="A11" s="14" t="s">
        <v>52</v>
      </c>
    </row>
    <row r="13" spans="1:2" x14ac:dyDescent="0.25">
      <c r="A13" s="13" t="s">
        <v>71</v>
      </c>
    </row>
    <row r="14" spans="1:2" x14ac:dyDescent="0.25">
      <c r="A14" s="14" t="s">
        <v>57</v>
      </c>
    </row>
    <row r="15" spans="1:2" x14ac:dyDescent="0.25">
      <c r="A15" s="14" t="s">
        <v>58</v>
      </c>
    </row>
    <row r="16" spans="1:2" x14ac:dyDescent="0.25">
      <c r="A16" s="13"/>
    </row>
    <row r="17" spans="1:2" ht="20" thickBot="1" x14ac:dyDescent="0.3">
      <c r="A17" s="13" t="s">
        <v>42</v>
      </c>
    </row>
    <row r="18" spans="1:2" ht="40" x14ac:dyDescent="0.25">
      <c r="A18" s="18" t="s">
        <v>34</v>
      </c>
      <c r="B18" s="19" t="s">
        <v>61</v>
      </c>
    </row>
    <row r="19" spans="1:2" ht="40" x14ac:dyDescent="0.25">
      <c r="A19" s="20"/>
      <c r="B19" s="21" t="s">
        <v>35</v>
      </c>
    </row>
    <row r="20" spans="1:2" ht="21" thickBot="1" x14ac:dyDescent="0.3">
      <c r="A20" s="22"/>
      <c r="B20" s="23" t="s">
        <v>62</v>
      </c>
    </row>
    <row r="21" spans="1:2" ht="40" x14ac:dyDescent="0.25">
      <c r="A21" s="18" t="s">
        <v>36</v>
      </c>
      <c r="B21" s="19" t="s">
        <v>63</v>
      </c>
    </row>
    <row r="22" spans="1:2" ht="41" thickBot="1" x14ac:dyDescent="0.3">
      <c r="A22" s="22"/>
      <c r="B22" s="23" t="s">
        <v>38</v>
      </c>
    </row>
    <row r="23" spans="1:2" ht="20" x14ac:dyDescent="0.25">
      <c r="A23" s="18" t="s">
        <v>39</v>
      </c>
      <c r="B23" s="19" t="s">
        <v>64</v>
      </c>
    </row>
    <row r="24" spans="1:2" ht="21" thickBot="1" x14ac:dyDescent="0.3">
      <c r="A24" s="24"/>
      <c r="B24" s="23" t="s">
        <v>65</v>
      </c>
    </row>
    <row r="25" spans="1:2" ht="21" thickBot="1" x14ac:dyDescent="0.3">
      <c r="A25" s="25" t="s">
        <v>40</v>
      </c>
      <c r="B25" s="26" t="s">
        <v>66</v>
      </c>
    </row>
    <row r="26" spans="1:2" ht="21" thickBot="1" x14ac:dyDescent="0.3">
      <c r="A26" s="25" t="s">
        <v>41</v>
      </c>
      <c r="B26" s="26" t="s">
        <v>67</v>
      </c>
    </row>
    <row r="27" spans="1:2" ht="21" thickBot="1" x14ac:dyDescent="0.3">
      <c r="A27" s="25" t="s">
        <v>43</v>
      </c>
      <c r="B27" s="26" t="s">
        <v>44</v>
      </c>
    </row>
    <row r="28" spans="1:2" ht="21" thickBot="1" x14ac:dyDescent="0.3">
      <c r="A28" s="25" t="s">
        <v>45</v>
      </c>
      <c r="B28" s="26" t="s">
        <v>68</v>
      </c>
    </row>
    <row r="29" spans="1:2" ht="21" thickBot="1" x14ac:dyDescent="0.3">
      <c r="A29" s="25" t="s">
        <v>46</v>
      </c>
      <c r="B29" s="26" t="s">
        <v>47</v>
      </c>
    </row>
    <row r="30" spans="1:2" ht="21" thickBot="1" x14ac:dyDescent="0.3">
      <c r="A30" s="25" t="s">
        <v>48</v>
      </c>
      <c r="B30" s="26" t="s">
        <v>49</v>
      </c>
    </row>
    <row r="31" spans="1:2" x14ac:dyDescent="0.25">
      <c r="A31" s="13"/>
    </row>
    <row r="32" spans="1:2" ht="20" x14ac:dyDescent="0.25">
      <c r="A32" s="13"/>
      <c r="B32" s="15" t="s">
        <v>69</v>
      </c>
    </row>
    <row r="33" spans="1:2" ht="20" x14ac:dyDescent="0.25">
      <c r="A33" s="13"/>
      <c r="B33" s="15" t="s">
        <v>70</v>
      </c>
    </row>
    <row r="35" spans="1:2" x14ac:dyDescent="0.25">
      <c r="A35" s="13" t="s">
        <v>59</v>
      </c>
    </row>
    <row r="36" spans="1:2" x14ac:dyDescent="0.25">
      <c r="A36" s="13" t="s">
        <v>60</v>
      </c>
    </row>
  </sheetData>
  <pageMargins left="0.7" right="0.7" top="0.75" bottom="0.75" header="0.3" footer="0.3"/>
  <pageSetup paperSize="0" orientation="portrait" horizontalDpi="0" verticalDpi="0" copies="0"/>
  <headerFooter>
    <oddHeader>&amp;C&amp;F&amp;F</oddHead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L34"/>
  <sheetViews>
    <sheetView topLeftCell="C1" zoomScaleNormal="100" workbookViewId="0">
      <selection sqref="A1:A1048576"/>
    </sheetView>
  </sheetViews>
  <sheetFormatPr baseColWidth="10" defaultColWidth="8.83203125" defaultRowHeight="15" x14ac:dyDescent="0.2"/>
  <cols>
    <col min="1" max="1" width="12.6640625" hidden="1" customWidth="1"/>
    <col min="2" max="2" width="13.83203125" hidden="1" customWidth="1"/>
    <col min="3" max="3" width="9.6640625" bestFit="1" customWidth="1"/>
    <col min="8" max="8" width="18.5" customWidth="1"/>
    <col min="10" max="10" width="10.5" customWidth="1"/>
  </cols>
  <sheetData>
    <row r="1" spans="1:12" x14ac:dyDescent="0.2">
      <c r="A1" t="s">
        <v>50</v>
      </c>
    </row>
    <row r="2" spans="1:12" x14ac:dyDescent="0.2">
      <c r="A2" t="s">
        <v>21</v>
      </c>
      <c r="B2" t="s">
        <v>23</v>
      </c>
      <c r="D2">
        <v>30</v>
      </c>
      <c r="F2" t="s">
        <v>80</v>
      </c>
      <c r="G2">
        <v>10</v>
      </c>
    </row>
    <row r="3" spans="1:12" x14ac:dyDescent="0.2">
      <c r="A3" t="s">
        <v>22</v>
      </c>
      <c r="B3" t="s">
        <v>0</v>
      </c>
      <c r="D3">
        <v>2</v>
      </c>
      <c r="F3" t="s">
        <v>81</v>
      </c>
      <c r="G3">
        <v>3</v>
      </c>
    </row>
    <row r="5" spans="1:12" x14ac:dyDescent="0.2">
      <c r="A5" t="s">
        <v>98</v>
      </c>
      <c r="B5" t="s">
        <v>99</v>
      </c>
      <c r="C5" t="s">
        <v>97</v>
      </c>
      <c r="D5" t="s">
        <v>37</v>
      </c>
      <c r="F5" t="s">
        <v>82</v>
      </c>
      <c r="H5" t="s">
        <v>95</v>
      </c>
      <c r="J5" t="s">
        <v>96</v>
      </c>
      <c r="L5" t="s">
        <v>100</v>
      </c>
    </row>
    <row r="6" spans="1:12" x14ac:dyDescent="0.2">
      <c r="A6">
        <f ca="1">RANDBETWEEN(-50,50)</f>
        <v>-26</v>
      </c>
      <c r="B6">
        <f t="shared" ref="B6:B26" ca="1" si="0">RANDBETWEEN(1,100)</f>
        <v>22</v>
      </c>
      <c r="C6">
        <v>-80</v>
      </c>
      <c r="D6">
        <f>$D$2+C6*$D$3</f>
        <v>-130</v>
      </c>
      <c r="F6">
        <f>($D$3*C6+$D$2)*$G$3+$G$2</f>
        <v>-380</v>
      </c>
      <c r="H6">
        <f>MAX(0, D6)</f>
        <v>0</v>
      </c>
      <c r="J6">
        <f>$G$3*H6+$G$2</f>
        <v>10</v>
      </c>
      <c r="L6">
        <v>14</v>
      </c>
    </row>
    <row r="7" spans="1:12" x14ac:dyDescent="0.2">
      <c r="A7">
        <f t="shared" ref="A7:A26" ca="1" si="1">RANDBETWEEN(-50,50)</f>
        <v>-36</v>
      </c>
      <c r="B7">
        <f t="shared" ca="1" si="0"/>
        <v>98</v>
      </c>
      <c r="C7">
        <v>-70</v>
      </c>
      <c r="D7">
        <f t="shared" ref="D7:D26" si="2">$D$2+C7*$D$3</f>
        <v>-110</v>
      </c>
      <c r="F7">
        <f t="shared" ref="F7:F26" si="3">($D$3*C7+$D$2)*$G$3+$G$2</f>
        <v>-320</v>
      </c>
      <c r="H7">
        <f t="shared" ref="H7:H26" si="4">MAX(0, D7)</f>
        <v>0</v>
      </c>
      <c r="J7">
        <f t="shared" ref="J7:J26" si="5">$G$3*H7+$G$2</f>
        <v>10</v>
      </c>
      <c r="L7">
        <v>86</v>
      </c>
    </row>
    <row r="8" spans="1:12" x14ac:dyDescent="0.2">
      <c r="A8">
        <f t="shared" ca="1" si="1"/>
        <v>-4</v>
      </c>
      <c r="B8">
        <f t="shared" ca="1" si="0"/>
        <v>99</v>
      </c>
      <c r="C8">
        <v>-60</v>
      </c>
      <c r="D8">
        <f t="shared" si="2"/>
        <v>-90</v>
      </c>
      <c r="F8">
        <f t="shared" si="3"/>
        <v>-260</v>
      </c>
      <c r="H8">
        <f t="shared" si="4"/>
        <v>0</v>
      </c>
      <c r="J8">
        <f t="shared" si="5"/>
        <v>10</v>
      </c>
      <c r="L8">
        <v>28</v>
      </c>
    </row>
    <row r="9" spans="1:12" x14ac:dyDescent="0.2">
      <c r="A9">
        <f t="shared" ca="1" si="1"/>
        <v>4</v>
      </c>
      <c r="B9">
        <f t="shared" ca="1" si="0"/>
        <v>21</v>
      </c>
      <c r="C9">
        <v>-50</v>
      </c>
      <c r="D9">
        <f t="shared" si="2"/>
        <v>-70</v>
      </c>
      <c r="F9">
        <f t="shared" si="3"/>
        <v>-200</v>
      </c>
      <c r="H9">
        <f t="shared" si="4"/>
        <v>0</v>
      </c>
      <c r="J9">
        <f t="shared" si="5"/>
        <v>10</v>
      </c>
      <c r="L9">
        <v>51</v>
      </c>
    </row>
    <row r="10" spans="1:12" x14ac:dyDescent="0.2">
      <c r="A10">
        <f t="shared" ca="1" si="1"/>
        <v>-38</v>
      </c>
      <c r="B10">
        <f t="shared" ca="1" si="0"/>
        <v>69</v>
      </c>
      <c r="C10">
        <v>-40</v>
      </c>
      <c r="D10">
        <f t="shared" si="2"/>
        <v>-50</v>
      </c>
      <c r="F10">
        <f t="shared" si="3"/>
        <v>-140</v>
      </c>
      <c r="H10">
        <f t="shared" si="4"/>
        <v>0</v>
      </c>
      <c r="J10">
        <f t="shared" si="5"/>
        <v>10</v>
      </c>
      <c r="L10">
        <v>28</v>
      </c>
    </row>
    <row r="11" spans="1:12" x14ac:dyDescent="0.2">
      <c r="A11">
        <f t="shared" ca="1" si="1"/>
        <v>7</v>
      </c>
      <c r="B11">
        <f t="shared" ca="1" si="0"/>
        <v>99</v>
      </c>
      <c r="C11">
        <v>-30</v>
      </c>
      <c r="D11">
        <f t="shared" si="2"/>
        <v>-30</v>
      </c>
      <c r="F11">
        <f t="shared" si="3"/>
        <v>-80</v>
      </c>
      <c r="H11">
        <f t="shared" si="4"/>
        <v>0</v>
      </c>
      <c r="J11">
        <f t="shared" si="5"/>
        <v>10</v>
      </c>
      <c r="L11">
        <v>29</v>
      </c>
    </row>
    <row r="12" spans="1:12" x14ac:dyDescent="0.2">
      <c r="A12">
        <f t="shared" ca="1" si="1"/>
        <v>50</v>
      </c>
      <c r="B12">
        <f t="shared" ca="1" si="0"/>
        <v>86</v>
      </c>
      <c r="C12">
        <v>-20</v>
      </c>
      <c r="D12">
        <f t="shared" si="2"/>
        <v>-10</v>
      </c>
      <c r="F12">
        <f t="shared" si="3"/>
        <v>-20</v>
      </c>
      <c r="H12">
        <f t="shared" si="4"/>
        <v>0</v>
      </c>
      <c r="J12">
        <f t="shared" si="5"/>
        <v>10</v>
      </c>
      <c r="L12">
        <v>72</v>
      </c>
    </row>
    <row r="13" spans="1:12" x14ac:dyDescent="0.2">
      <c r="A13">
        <f t="shared" ca="1" si="1"/>
        <v>29</v>
      </c>
      <c r="B13">
        <f t="shared" ca="1" si="0"/>
        <v>74</v>
      </c>
      <c r="C13">
        <v>-10</v>
      </c>
      <c r="D13">
        <f t="shared" si="2"/>
        <v>10</v>
      </c>
      <c r="F13">
        <f t="shared" si="3"/>
        <v>40</v>
      </c>
      <c r="H13">
        <f t="shared" si="4"/>
        <v>10</v>
      </c>
      <c r="J13">
        <f t="shared" si="5"/>
        <v>40</v>
      </c>
      <c r="L13">
        <v>62</v>
      </c>
    </row>
    <row r="14" spans="1:12" x14ac:dyDescent="0.2">
      <c r="A14">
        <f t="shared" ca="1" si="1"/>
        <v>-24</v>
      </c>
      <c r="B14">
        <f t="shared" ca="1" si="0"/>
        <v>78</v>
      </c>
      <c r="C14">
        <v>0</v>
      </c>
      <c r="D14">
        <f t="shared" si="2"/>
        <v>30</v>
      </c>
      <c r="F14">
        <f t="shared" si="3"/>
        <v>100</v>
      </c>
      <c r="H14">
        <f t="shared" si="4"/>
        <v>30</v>
      </c>
      <c r="J14">
        <f t="shared" si="5"/>
        <v>100</v>
      </c>
      <c r="L14">
        <v>84</v>
      </c>
    </row>
    <row r="15" spans="1:12" x14ac:dyDescent="0.2">
      <c r="A15">
        <f t="shared" ca="1" si="1"/>
        <v>3</v>
      </c>
      <c r="B15">
        <f t="shared" ca="1" si="0"/>
        <v>71</v>
      </c>
      <c r="C15">
        <v>10</v>
      </c>
      <c r="D15">
        <f t="shared" si="2"/>
        <v>50</v>
      </c>
      <c r="F15">
        <f t="shared" si="3"/>
        <v>160</v>
      </c>
      <c r="H15">
        <f t="shared" si="4"/>
        <v>50</v>
      </c>
      <c r="J15">
        <f t="shared" si="5"/>
        <v>160</v>
      </c>
      <c r="L15">
        <v>15</v>
      </c>
    </row>
    <row r="16" spans="1:12" x14ac:dyDescent="0.2">
      <c r="A16">
        <f t="shared" ca="1" si="1"/>
        <v>-50</v>
      </c>
      <c r="B16">
        <f t="shared" ca="1" si="0"/>
        <v>85</v>
      </c>
      <c r="C16">
        <v>20</v>
      </c>
      <c r="D16">
        <f t="shared" si="2"/>
        <v>70</v>
      </c>
      <c r="F16">
        <f t="shared" si="3"/>
        <v>220</v>
      </c>
      <c r="H16">
        <f t="shared" si="4"/>
        <v>70</v>
      </c>
      <c r="J16">
        <f t="shared" si="5"/>
        <v>220</v>
      </c>
      <c r="L16">
        <v>42</v>
      </c>
    </row>
    <row r="17" spans="1:12" x14ac:dyDescent="0.2">
      <c r="A17">
        <f t="shared" ca="1" si="1"/>
        <v>-48</v>
      </c>
      <c r="B17">
        <f t="shared" ca="1" si="0"/>
        <v>4</v>
      </c>
      <c r="C17">
        <v>30</v>
      </c>
      <c r="D17">
        <f t="shared" si="2"/>
        <v>90</v>
      </c>
      <c r="F17">
        <f t="shared" si="3"/>
        <v>280</v>
      </c>
      <c r="H17">
        <f t="shared" si="4"/>
        <v>90</v>
      </c>
      <c r="J17">
        <f t="shared" si="5"/>
        <v>280</v>
      </c>
      <c r="L17">
        <v>62</v>
      </c>
    </row>
    <row r="18" spans="1:12" x14ac:dyDescent="0.2">
      <c r="A18">
        <f t="shared" ca="1" si="1"/>
        <v>45</v>
      </c>
      <c r="B18">
        <f t="shared" ca="1" si="0"/>
        <v>18</v>
      </c>
      <c r="C18">
        <v>40</v>
      </c>
      <c r="D18">
        <f t="shared" si="2"/>
        <v>110</v>
      </c>
      <c r="F18">
        <f t="shared" si="3"/>
        <v>340</v>
      </c>
      <c r="H18">
        <f t="shared" si="4"/>
        <v>110</v>
      </c>
      <c r="J18">
        <f t="shared" si="5"/>
        <v>340</v>
      </c>
      <c r="L18">
        <v>47</v>
      </c>
    </row>
    <row r="19" spans="1:12" x14ac:dyDescent="0.2">
      <c r="A19">
        <f t="shared" ca="1" si="1"/>
        <v>-1</v>
      </c>
      <c r="B19">
        <f t="shared" ca="1" si="0"/>
        <v>20</v>
      </c>
      <c r="C19">
        <v>50</v>
      </c>
      <c r="D19">
        <f t="shared" si="2"/>
        <v>130</v>
      </c>
      <c r="F19">
        <f t="shared" si="3"/>
        <v>400</v>
      </c>
      <c r="H19">
        <f t="shared" si="4"/>
        <v>130</v>
      </c>
      <c r="J19">
        <f t="shared" si="5"/>
        <v>400</v>
      </c>
      <c r="L19">
        <v>35</v>
      </c>
    </row>
    <row r="20" spans="1:12" x14ac:dyDescent="0.2">
      <c r="A20">
        <f t="shared" ca="1" si="1"/>
        <v>47</v>
      </c>
      <c r="B20">
        <f t="shared" ca="1" si="0"/>
        <v>4</v>
      </c>
      <c r="C20">
        <v>60</v>
      </c>
      <c r="D20">
        <f t="shared" si="2"/>
        <v>150</v>
      </c>
      <c r="F20">
        <f t="shared" si="3"/>
        <v>460</v>
      </c>
      <c r="H20">
        <f t="shared" si="4"/>
        <v>150</v>
      </c>
      <c r="J20">
        <f t="shared" si="5"/>
        <v>460</v>
      </c>
      <c r="L20">
        <v>9</v>
      </c>
    </row>
    <row r="21" spans="1:12" x14ac:dyDescent="0.2">
      <c r="A21">
        <f t="shared" ca="1" si="1"/>
        <v>-11</v>
      </c>
      <c r="B21">
        <f t="shared" ca="1" si="0"/>
        <v>64</v>
      </c>
      <c r="C21">
        <v>70</v>
      </c>
      <c r="D21">
        <f t="shared" si="2"/>
        <v>170</v>
      </c>
      <c r="F21">
        <f t="shared" si="3"/>
        <v>520</v>
      </c>
      <c r="H21">
        <f t="shared" si="4"/>
        <v>170</v>
      </c>
      <c r="J21">
        <f t="shared" si="5"/>
        <v>520</v>
      </c>
      <c r="L21">
        <v>38</v>
      </c>
    </row>
    <row r="22" spans="1:12" x14ac:dyDescent="0.2">
      <c r="A22">
        <f t="shared" ca="1" si="1"/>
        <v>34</v>
      </c>
      <c r="B22">
        <f t="shared" ca="1" si="0"/>
        <v>38</v>
      </c>
      <c r="C22">
        <v>80</v>
      </c>
      <c r="D22">
        <f t="shared" si="2"/>
        <v>190</v>
      </c>
      <c r="F22">
        <f t="shared" si="3"/>
        <v>580</v>
      </c>
      <c r="H22">
        <f t="shared" si="4"/>
        <v>190</v>
      </c>
      <c r="J22">
        <f t="shared" si="5"/>
        <v>580</v>
      </c>
      <c r="L22">
        <v>44</v>
      </c>
    </row>
    <row r="23" spans="1:12" x14ac:dyDescent="0.2">
      <c r="A23">
        <f t="shared" ca="1" si="1"/>
        <v>43</v>
      </c>
      <c r="B23">
        <f t="shared" ca="1" si="0"/>
        <v>20</v>
      </c>
      <c r="C23">
        <v>90</v>
      </c>
      <c r="D23">
        <f t="shared" si="2"/>
        <v>210</v>
      </c>
      <c r="F23">
        <f t="shared" si="3"/>
        <v>640</v>
      </c>
      <c r="H23">
        <f t="shared" si="4"/>
        <v>210</v>
      </c>
      <c r="J23">
        <f t="shared" si="5"/>
        <v>640</v>
      </c>
      <c r="L23">
        <v>99</v>
      </c>
    </row>
    <row r="24" spans="1:12" x14ac:dyDescent="0.2">
      <c r="A24">
        <f t="shared" ca="1" si="1"/>
        <v>30</v>
      </c>
      <c r="B24">
        <f t="shared" ca="1" si="0"/>
        <v>32</v>
      </c>
      <c r="C24">
        <v>100</v>
      </c>
      <c r="D24">
        <f t="shared" si="2"/>
        <v>230</v>
      </c>
      <c r="F24">
        <f t="shared" si="3"/>
        <v>700</v>
      </c>
      <c r="H24">
        <f t="shared" si="4"/>
        <v>230</v>
      </c>
      <c r="J24">
        <f t="shared" si="5"/>
        <v>700</v>
      </c>
      <c r="L24">
        <v>13</v>
      </c>
    </row>
    <row r="25" spans="1:12" x14ac:dyDescent="0.2">
      <c r="A25">
        <f t="shared" ca="1" si="1"/>
        <v>-37</v>
      </c>
      <c r="B25">
        <f t="shared" ca="1" si="0"/>
        <v>9</v>
      </c>
      <c r="C25">
        <v>110</v>
      </c>
      <c r="D25">
        <f t="shared" si="2"/>
        <v>250</v>
      </c>
      <c r="F25">
        <f t="shared" si="3"/>
        <v>760</v>
      </c>
      <c r="H25">
        <f t="shared" si="4"/>
        <v>250</v>
      </c>
      <c r="J25">
        <f t="shared" si="5"/>
        <v>760</v>
      </c>
      <c r="L25">
        <v>21</v>
      </c>
    </row>
    <row r="26" spans="1:12" x14ac:dyDescent="0.2">
      <c r="A26">
        <f t="shared" ca="1" si="1"/>
        <v>6</v>
      </c>
      <c r="B26">
        <f t="shared" ca="1" si="0"/>
        <v>24</v>
      </c>
      <c r="C26">
        <v>120</v>
      </c>
      <c r="D26">
        <f t="shared" si="2"/>
        <v>270</v>
      </c>
      <c r="F26">
        <f t="shared" si="3"/>
        <v>820</v>
      </c>
      <c r="H26">
        <f t="shared" si="4"/>
        <v>270</v>
      </c>
      <c r="J26">
        <f t="shared" si="5"/>
        <v>820</v>
      </c>
      <c r="L26">
        <v>28</v>
      </c>
    </row>
    <row r="27" spans="1:12" x14ac:dyDescent="0.2">
      <c r="L27">
        <v>20</v>
      </c>
    </row>
    <row r="28" spans="1:12" x14ac:dyDescent="0.2">
      <c r="L28">
        <v>8</v>
      </c>
    </row>
    <row r="29" spans="1:12" x14ac:dyDescent="0.2">
      <c r="L29">
        <v>64</v>
      </c>
    </row>
    <row r="30" spans="1:12" x14ac:dyDescent="0.2">
      <c r="L30">
        <v>99</v>
      </c>
    </row>
    <row r="31" spans="1:12" x14ac:dyDescent="0.2">
      <c r="L31">
        <v>70</v>
      </c>
    </row>
    <row r="32" spans="1:12" x14ac:dyDescent="0.2">
      <c r="L32">
        <v>27</v>
      </c>
    </row>
    <row r="33" spans="12:12" x14ac:dyDescent="0.2">
      <c r="L33">
        <v>17</v>
      </c>
    </row>
    <row r="34" spans="12:12" x14ac:dyDescent="0.2">
      <c r="L34">
        <v>8</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87"/>
  <sheetViews>
    <sheetView zoomScale="130" zoomScaleNormal="130" workbookViewId="0">
      <pane ySplit="3" topLeftCell="A16" activePane="bottomLeft" state="frozen"/>
      <selection pane="bottomLeft" activeCell="C1" sqref="C1"/>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3.523300345414448</v>
      </c>
      <c r="E1" t="s">
        <v>14</v>
      </c>
      <c r="F1">
        <v>1E-4</v>
      </c>
      <c r="L1" t="s">
        <v>4</v>
      </c>
    </row>
    <row r="2" spans="1:14" ht="17.5" customHeight="1" x14ac:dyDescent="0.2">
      <c r="B2" t="s">
        <v>0</v>
      </c>
      <c r="C2">
        <v>2.5253914126694208</v>
      </c>
      <c r="H2" t="s">
        <v>3</v>
      </c>
      <c r="K2" t="s">
        <v>5</v>
      </c>
      <c r="M2" t="s">
        <v>111</v>
      </c>
      <c r="N2" t="s">
        <v>112</v>
      </c>
    </row>
    <row r="3" spans="1:14" s="2" customFormat="1" x14ac:dyDescent="0.2">
      <c r="A3" s="2" t="s">
        <v>15</v>
      </c>
      <c r="B3" s="2" t="s">
        <v>16</v>
      </c>
      <c r="C3" s="2" t="s">
        <v>73</v>
      </c>
      <c r="D3" s="2" t="s">
        <v>72</v>
      </c>
      <c r="E3" s="2" t="s">
        <v>17</v>
      </c>
      <c r="F3" s="2" t="s">
        <v>1</v>
      </c>
      <c r="G3" s="2" t="s">
        <v>7</v>
      </c>
      <c r="H3" s="2" t="s">
        <v>10</v>
      </c>
      <c r="I3" s="2" t="s">
        <v>8</v>
      </c>
      <c r="J3" s="2" t="s">
        <v>11</v>
      </c>
      <c r="K3" s="2" t="s">
        <v>6</v>
      </c>
      <c r="L3" s="2" t="s">
        <v>9</v>
      </c>
      <c r="M3" s="2" t="s">
        <v>12</v>
      </c>
      <c r="N3" s="2" t="s">
        <v>13</v>
      </c>
    </row>
    <row r="4" spans="1:14" x14ac:dyDescent="0.2">
      <c r="A4">
        <v>14</v>
      </c>
      <c r="B4">
        <v>58</v>
      </c>
      <c r="C4">
        <f>C1</f>
        <v>3.523300345414448</v>
      </c>
      <c r="D4">
        <f>C2</f>
        <v>2.5253914126694208</v>
      </c>
      <c r="E4">
        <f>C4+D4*A4</f>
        <v>38.878780122786338</v>
      </c>
      <c r="F4" s="1">
        <f>(B4-E4)^2</f>
        <v>365.62104959275086</v>
      </c>
      <c r="G4" s="3">
        <f>(((C4+0.01)+A4*D4)-B4)^2</f>
        <v>365.23872519520665</v>
      </c>
      <c r="H4" s="3">
        <f>(G4-F4)/0.01</f>
        <v>-38.232439754420966</v>
      </c>
      <c r="I4" s="3">
        <f>(((D4+0.01)*A4+C4)-B4)^2</f>
        <v>360.286708027131</v>
      </c>
      <c r="J4" s="3">
        <f>(I4-F4)/0.01</f>
        <v>-533.43415656198658</v>
      </c>
      <c r="K4" s="3">
        <f>2*(E4-B4)</f>
        <v>-38.242439754427323</v>
      </c>
      <c r="L4" s="3">
        <f>K4*A4</f>
        <v>-535.39415656198253</v>
      </c>
      <c r="M4" s="3">
        <f>D4-L4*$F$1</f>
        <v>2.5789308283256189</v>
      </c>
      <c r="N4" s="3">
        <f>C4-K4*$F$1</f>
        <v>3.5271245893898908</v>
      </c>
    </row>
    <row r="5" spans="1:14" x14ac:dyDescent="0.2">
      <c r="A5">
        <v>86</v>
      </c>
      <c r="B5">
        <v>202</v>
      </c>
      <c r="C5">
        <f>N4</f>
        <v>3.5271245893898908</v>
      </c>
      <c r="D5">
        <f>M4</f>
        <v>2.5789308283256189</v>
      </c>
      <c r="E5">
        <f>C5+D5*A5</f>
        <v>225.31517582539314</v>
      </c>
      <c r="F5" s="1">
        <f>(B5-E5)^2</f>
        <v>543.59742376899669</v>
      </c>
      <c r="G5" s="3">
        <f>(((C5+0.01)+A5*D5)-B5)^2</f>
        <v>544.0638272855042</v>
      </c>
      <c r="H5" s="3">
        <f>(G5-F5)/0.01</f>
        <v>46.640351650751199</v>
      </c>
      <c r="I5" s="3">
        <f>(((D5+0.01)*A5+C5)-B5)^2</f>
        <v>584.4391261886708</v>
      </c>
      <c r="J5" s="3">
        <f>(I5-F5)/0.01</f>
        <v>4084.1702419674107</v>
      </c>
      <c r="K5" s="3">
        <f t="shared" ref="K5" si="0">2*(E5-B5)</f>
        <v>46.630351650786281</v>
      </c>
      <c r="L5" s="3">
        <f>K5*A5</f>
        <v>4010.2102419676203</v>
      </c>
      <c r="M5" s="3">
        <f t="shared" ref="M5" si="1">D5-L5*$F$1</f>
        <v>2.1779098041288569</v>
      </c>
      <c r="N5" s="3">
        <f t="shared" ref="N5" si="2">C5-K5*$F$1</f>
        <v>3.5224615542248121</v>
      </c>
    </row>
    <row r="6" spans="1:14" x14ac:dyDescent="0.2">
      <c r="A6">
        <v>28</v>
      </c>
      <c r="B6">
        <v>86</v>
      </c>
      <c r="C6">
        <f>N5</f>
        <v>3.5224615542248121</v>
      </c>
      <c r="D6">
        <f>M5</f>
        <v>2.1779098041288569</v>
      </c>
      <c r="E6">
        <f>C6+D6*A6</f>
        <v>64.503936069832804</v>
      </c>
      <c r="F6" s="1">
        <f>(B6-E6)^2</f>
        <v>462.08076448983513</v>
      </c>
      <c r="G6" s="3">
        <f>(((C6+0.01)+A6*D6)-B6)^2</f>
        <v>461.65094321123161</v>
      </c>
      <c r="H6" s="3">
        <f>(G6-F6)/0.01</f>
        <v>-42.982127860352648</v>
      </c>
      <c r="I6" s="3">
        <f>(((D6+0.01)*A6+C6)-B6)^2</f>
        <v>450.12136868894146</v>
      </c>
      <c r="J6" s="3">
        <f>(I6-F6)/0.01</f>
        <v>-1195.9395800893674</v>
      </c>
      <c r="K6" s="3">
        <f t="shared" ref="K6:K7" si="3">2*(E6-B6)</f>
        <v>-42.992127860334392</v>
      </c>
      <c r="L6" s="3">
        <f>K6*A6</f>
        <v>-1203.779580089363</v>
      </c>
      <c r="M6" s="3">
        <f t="shared" ref="M6:M7" si="4">D6-L6*$F$1</f>
        <v>2.2982877621377931</v>
      </c>
      <c r="N6" s="3">
        <f t="shared" ref="N6:N7" si="5">C6-K6*$F$1</f>
        <v>3.5267607670108454</v>
      </c>
    </row>
    <row r="7" spans="1:14" x14ac:dyDescent="0.2">
      <c r="A7">
        <v>51</v>
      </c>
      <c r="B7">
        <v>132</v>
      </c>
      <c r="C7">
        <f t="shared" ref="C7:C32" si="6">N6</f>
        <v>3.5267607670108454</v>
      </c>
      <c r="D7">
        <f t="shared" ref="D7:D32" si="7">M6</f>
        <v>2.2982877621377931</v>
      </c>
      <c r="E7">
        <f t="shared" ref="E7:E32" si="8">C7+D7*A7</f>
        <v>120.73943663603829</v>
      </c>
      <c r="F7" s="1">
        <f t="shared" ref="F7:F32" si="9">(B7-E7)^2</f>
        <v>126.80028727379663</v>
      </c>
      <c r="G7" s="3">
        <f t="shared" ref="G7:G32" si="10">(((C7+0.01)+A7*D7)-B7)^2</f>
        <v>126.57517600651727</v>
      </c>
      <c r="H7" s="3">
        <f t="shared" ref="H7:H32" si="11">(G7-F7)/0.01</f>
        <v>-22.511126727935959</v>
      </c>
      <c r="I7" s="3">
        <f t="shared" ref="I7:I32" si="12">(((D7+0.01)*A7+C7)-B7)^2</f>
        <v>115.57461264255588</v>
      </c>
      <c r="J7" s="3">
        <f t="shared" ref="J7:J32" si="13">(I7-F7)/0.01</f>
        <v>-1122.5674631240749</v>
      </c>
      <c r="K7" s="3">
        <f t="shared" si="3"/>
        <v>-22.521126727923416</v>
      </c>
      <c r="L7" s="3">
        <f t="shared" ref="L7:L32" si="14">K7*A7</f>
        <v>-1148.5774631240943</v>
      </c>
      <c r="M7" s="3">
        <f t="shared" si="4"/>
        <v>2.4131455084502025</v>
      </c>
      <c r="N7" s="3">
        <f t="shared" si="5"/>
        <v>3.5290128796836377</v>
      </c>
    </row>
    <row r="8" spans="1:14" x14ac:dyDescent="0.2">
      <c r="A8">
        <v>28</v>
      </c>
      <c r="B8">
        <v>86</v>
      </c>
      <c r="C8">
        <f t="shared" si="6"/>
        <v>3.5290128796836377</v>
      </c>
      <c r="D8">
        <f t="shared" si="7"/>
        <v>2.4131455084502025</v>
      </c>
      <c r="E8">
        <f t="shared" si="8"/>
        <v>71.097087116289302</v>
      </c>
      <c r="F8" s="1">
        <f t="shared" si="9"/>
        <v>222.09681241947033</v>
      </c>
      <c r="G8" s="3">
        <f t="shared" si="10"/>
        <v>221.79885416179596</v>
      </c>
      <c r="H8" s="3">
        <f t="shared" si="11"/>
        <v>-29.795825767436668</v>
      </c>
      <c r="I8" s="3">
        <f t="shared" si="12"/>
        <v>213.8295812045923</v>
      </c>
      <c r="J8" s="3">
        <f t="shared" si="13"/>
        <v>-826.72312148780236</v>
      </c>
      <c r="K8" s="3">
        <f t="shared" ref="K8:K32" si="15">2*(E8-B8)</f>
        <v>-29.805825767421396</v>
      </c>
      <c r="L8" s="3">
        <f t="shared" si="14"/>
        <v>-834.56312148779909</v>
      </c>
      <c r="M8" s="3">
        <f t="shared" ref="M8:M32" si="16">D8-L8*$F$1</f>
        <v>2.4966018205989826</v>
      </c>
      <c r="N8" s="3">
        <f t="shared" ref="N8:N32" si="17">C8-K8*$F$1</f>
        <v>3.5319934622603797</v>
      </c>
    </row>
    <row r="9" spans="1:14" x14ac:dyDescent="0.2">
      <c r="A9">
        <v>29</v>
      </c>
      <c r="B9">
        <v>88</v>
      </c>
      <c r="C9">
        <f t="shared" si="6"/>
        <v>3.5319934622603797</v>
      </c>
      <c r="D9">
        <f t="shared" si="7"/>
        <v>2.4966018205989826</v>
      </c>
      <c r="E9">
        <f t="shared" si="8"/>
        <v>75.93344625963087</v>
      </c>
      <c r="F9" s="1">
        <f t="shared" si="9"/>
        <v>145.60171916921624</v>
      </c>
      <c r="G9" s="3">
        <f t="shared" si="10"/>
        <v>145.36048809440874</v>
      </c>
      <c r="H9" s="3">
        <f t="shared" si="11"/>
        <v>-24.12310748075015</v>
      </c>
      <c r="I9" s="3">
        <f t="shared" si="12"/>
        <v>138.68721799980233</v>
      </c>
      <c r="J9" s="3">
        <f t="shared" si="13"/>
        <v>-691.450116941391</v>
      </c>
      <c r="K9" s="3">
        <f t="shared" si="15"/>
        <v>-24.133107480738261</v>
      </c>
      <c r="L9" s="3">
        <f t="shared" si="14"/>
        <v>-699.86011694140961</v>
      </c>
      <c r="M9" s="3">
        <f t="shared" si="16"/>
        <v>2.5665878322931235</v>
      </c>
      <c r="N9" s="3">
        <f t="shared" si="17"/>
        <v>3.5344067730084534</v>
      </c>
    </row>
    <row r="10" spans="1:14" x14ac:dyDescent="0.2">
      <c r="A10">
        <v>72</v>
      </c>
      <c r="B10">
        <v>174</v>
      </c>
      <c r="C10">
        <f t="shared" si="6"/>
        <v>3.5344067730084534</v>
      </c>
      <c r="D10">
        <f t="shared" si="7"/>
        <v>2.5665878322931235</v>
      </c>
      <c r="E10">
        <f t="shared" si="8"/>
        <v>188.32873069811333</v>
      </c>
      <c r="F10" s="1">
        <f t="shared" si="9"/>
        <v>205.3125234190554</v>
      </c>
      <c r="G10" s="3">
        <f t="shared" si="10"/>
        <v>205.59919803301821</v>
      </c>
      <c r="H10" s="3">
        <f t="shared" si="11"/>
        <v>28.667461396281624</v>
      </c>
      <c r="I10" s="3">
        <f t="shared" si="12"/>
        <v>226.46429562433769</v>
      </c>
      <c r="J10" s="3">
        <f t="shared" si="13"/>
        <v>2115.17722052823</v>
      </c>
      <c r="K10" s="3">
        <f t="shared" si="15"/>
        <v>28.657461396226665</v>
      </c>
      <c r="L10" s="3">
        <f t="shared" si="14"/>
        <v>2063.3372205283199</v>
      </c>
      <c r="M10" s="3">
        <f t="shared" si="16"/>
        <v>2.3602541102402914</v>
      </c>
      <c r="N10" s="3">
        <f t="shared" si="17"/>
        <v>3.5315410268688305</v>
      </c>
    </row>
    <row r="11" spans="1:14" x14ac:dyDescent="0.2">
      <c r="A11">
        <v>62</v>
      </c>
      <c r="B11">
        <v>154</v>
      </c>
      <c r="C11">
        <f t="shared" si="6"/>
        <v>3.5315410268688305</v>
      </c>
      <c r="D11">
        <f t="shared" si="7"/>
        <v>2.3602541102402914</v>
      </c>
      <c r="E11">
        <f t="shared" si="8"/>
        <v>149.86729586176691</v>
      </c>
      <c r="F11" s="1">
        <f t="shared" si="9"/>
        <v>17.079243494168946</v>
      </c>
      <c r="G11" s="3">
        <f t="shared" si="10"/>
        <v>16.996689411404358</v>
      </c>
      <c r="H11" s="3">
        <f t="shared" si="11"/>
        <v>-8.2554082764588088</v>
      </c>
      <c r="I11" s="3">
        <f t="shared" si="12"/>
        <v>12.339090362760077</v>
      </c>
      <c r="J11" s="3">
        <f t="shared" si="13"/>
        <v>-474.01531314088686</v>
      </c>
      <c r="K11" s="3">
        <f t="shared" si="15"/>
        <v>-8.2654082764661894</v>
      </c>
      <c r="L11" s="3">
        <f t="shared" si="14"/>
        <v>-512.45531314090374</v>
      </c>
      <c r="M11" s="3">
        <f t="shared" si="16"/>
        <v>2.4114996415543817</v>
      </c>
      <c r="N11" s="3">
        <f t="shared" si="17"/>
        <v>3.5323675676964772</v>
      </c>
    </row>
    <row r="12" spans="1:14" x14ac:dyDescent="0.2">
      <c r="A12">
        <v>84</v>
      </c>
      <c r="B12">
        <v>198</v>
      </c>
      <c r="C12">
        <f t="shared" si="6"/>
        <v>3.5323675676964772</v>
      </c>
      <c r="D12">
        <f t="shared" si="7"/>
        <v>2.4114996415543817</v>
      </c>
      <c r="E12">
        <f t="shared" si="8"/>
        <v>206.09833745826452</v>
      </c>
      <c r="F12" s="1">
        <f t="shared" si="9"/>
        <v>65.583069587930311</v>
      </c>
      <c r="G12" s="3">
        <f t="shared" si="10"/>
        <v>65.745136337095914</v>
      </c>
      <c r="H12" s="3">
        <f t="shared" si="11"/>
        <v>16.20667491656036</v>
      </c>
      <c r="I12" s="3">
        <f t="shared" si="12"/>
        <v>79.893876517814263</v>
      </c>
      <c r="J12" s="3">
        <f t="shared" si="13"/>
        <v>1431.0806929883952</v>
      </c>
      <c r="K12" s="3">
        <f t="shared" si="15"/>
        <v>16.196674916529048</v>
      </c>
      <c r="L12" s="3">
        <f t="shared" si="14"/>
        <v>1360.52069298844</v>
      </c>
      <c r="M12" s="3">
        <f t="shared" si="16"/>
        <v>2.2754475722555378</v>
      </c>
      <c r="N12" s="3">
        <f t="shared" si="17"/>
        <v>3.5307479002048243</v>
      </c>
    </row>
    <row r="13" spans="1:14" x14ac:dyDescent="0.2">
      <c r="A13">
        <v>15</v>
      </c>
      <c r="B13">
        <v>60</v>
      </c>
      <c r="C13">
        <f t="shared" si="6"/>
        <v>3.5307479002048243</v>
      </c>
      <c r="D13">
        <f t="shared" si="7"/>
        <v>2.2754475722555378</v>
      </c>
      <c r="E13">
        <f t="shared" si="8"/>
        <v>37.662461484037891</v>
      </c>
      <c r="F13" s="1">
        <f t="shared" si="9"/>
        <v>498.9656269520907</v>
      </c>
      <c r="G13" s="3">
        <f t="shared" si="10"/>
        <v>498.51897618177122</v>
      </c>
      <c r="H13" s="3">
        <f t="shared" si="11"/>
        <v>-44.665077031947931</v>
      </c>
      <c r="I13" s="3">
        <f t="shared" si="12"/>
        <v>492.28686539730211</v>
      </c>
      <c r="J13" s="3">
        <f t="shared" si="13"/>
        <v>-667.87615547885935</v>
      </c>
      <c r="K13" s="3">
        <f t="shared" si="15"/>
        <v>-44.675077031924218</v>
      </c>
      <c r="L13" s="3">
        <f t="shared" si="14"/>
        <v>-670.12615547886321</v>
      </c>
      <c r="M13" s="3">
        <f t="shared" si="16"/>
        <v>2.3424601878034244</v>
      </c>
      <c r="N13" s="3">
        <f t="shared" si="17"/>
        <v>3.5352154079080167</v>
      </c>
    </row>
    <row r="14" spans="1:14" x14ac:dyDescent="0.2">
      <c r="A14">
        <v>42</v>
      </c>
      <c r="B14">
        <v>114</v>
      </c>
      <c r="C14">
        <f t="shared" si="6"/>
        <v>3.5352154079080167</v>
      </c>
      <c r="D14">
        <f t="shared" si="7"/>
        <v>2.3424601878034244</v>
      </c>
      <c r="E14">
        <f t="shared" si="8"/>
        <v>101.91854329565183</v>
      </c>
      <c r="F14" s="1">
        <f t="shared" si="9"/>
        <v>145.96159609903935</v>
      </c>
      <c r="G14" s="3">
        <f t="shared" si="10"/>
        <v>145.72006696495225</v>
      </c>
      <c r="H14" s="3">
        <f t="shared" si="11"/>
        <v>-24.152913408710219</v>
      </c>
      <c r="I14" s="3">
        <f t="shared" si="12"/>
        <v>135.98957246738684</v>
      </c>
      <c r="J14" s="3">
        <f t="shared" si="13"/>
        <v>-997.20236316525188</v>
      </c>
      <c r="K14" s="3">
        <f t="shared" si="15"/>
        <v>-24.16291340869634</v>
      </c>
      <c r="L14" s="3">
        <f t="shared" si="14"/>
        <v>-1014.8423631652463</v>
      </c>
      <c r="M14" s="3">
        <f t="shared" si="16"/>
        <v>2.4439444241199491</v>
      </c>
      <c r="N14" s="3">
        <f t="shared" si="17"/>
        <v>3.5376316992488865</v>
      </c>
    </row>
    <row r="15" spans="1:14" x14ac:dyDescent="0.2">
      <c r="A15">
        <v>62</v>
      </c>
      <c r="B15">
        <v>154</v>
      </c>
      <c r="C15">
        <f t="shared" si="6"/>
        <v>3.5376316992488865</v>
      </c>
      <c r="D15">
        <f t="shared" si="7"/>
        <v>2.4439444241199491</v>
      </c>
      <c r="E15">
        <f t="shared" si="8"/>
        <v>155.06218599468573</v>
      </c>
      <c r="F15" s="1">
        <f t="shared" si="9"/>
        <v>1.1282390873065224</v>
      </c>
      <c r="G15" s="3">
        <f t="shared" si="10"/>
        <v>1.1495828072002177</v>
      </c>
      <c r="H15" s="3">
        <f t="shared" si="11"/>
        <v>2.1343719893695212</v>
      </c>
      <c r="I15" s="3">
        <f t="shared" si="12"/>
        <v>2.8297497207167526</v>
      </c>
      <c r="J15" s="3">
        <f t="shared" si="13"/>
        <v>170.15106334102302</v>
      </c>
      <c r="K15" s="3">
        <f t="shared" si="15"/>
        <v>2.1243719893714683</v>
      </c>
      <c r="L15" s="3">
        <f t="shared" si="14"/>
        <v>131.71106334103104</v>
      </c>
      <c r="M15" s="3">
        <f t="shared" si="16"/>
        <v>2.4307733177858459</v>
      </c>
      <c r="N15" s="3">
        <f t="shared" si="17"/>
        <v>3.5374192620499496</v>
      </c>
    </row>
    <row r="16" spans="1:14" x14ac:dyDescent="0.2">
      <c r="A16">
        <v>47</v>
      </c>
      <c r="B16">
        <v>124</v>
      </c>
      <c r="C16">
        <f t="shared" si="6"/>
        <v>3.5374192620499496</v>
      </c>
      <c r="D16">
        <f t="shared" si="7"/>
        <v>2.4307733177858459</v>
      </c>
      <c r="E16">
        <f t="shared" si="8"/>
        <v>117.78376519798471</v>
      </c>
      <c r="F16" s="1">
        <f t="shared" si="9"/>
        <v>38.641575113786111</v>
      </c>
      <c r="G16" s="3">
        <f t="shared" si="10"/>
        <v>38.517350417745917</v>
      </c>
      <c r="H16" s="3">
        <f t="shared" si="11"/>
        <v>-12.422469604019426</v>
      </c>
      <c r="I16" s="3">
        <f t="shared" si="12"/>
        <v>33.019214399891752</v>
      </c>
      <c r="J16" s="3">
        <f t="shared" si="13"/>
        <v>-562.23607138943589</v>
      </c>
      <c r="K16" s="3">
        <f t="shared" si="15"/>
        <v>-12.432469604030587</v>
      </c>
      <c r="L16" s="3">
        <f t="shared" si="14"/>
        <v>-584.32607138943763</v>
      </c>
      <c r="M16" s="3">
        <f t="shared" si="16"/>
        <v>2.4892059249247898</v>
      </c>
      <c r="N16" s="3">
        <f t="shared" si="17"/>
        <v>3.5386625090103525</v>
      </c>
    </row>
    <row r="17" spans="1:14" x14ac:dyDescent="0.2">
      <c r="A17">
        <v>35</v>
      </c>
      <c r="B17">
        <v>100</v>
      </c>
      <c r="C17">
        <f t="shared" si="6"/>
        <v>3.5386625090103525</v>
      </c>
      <c r="D17">
        <f t="shared" si="7"/>
        <v>2.4892059249247898</v>
      </c>
      <c r="E17">
        <f t="shared" si="8"/>
        <v>90.660869881377991</v>
      </c>
      <c r="F17" s="1">
        <f t="shared" si="9"/>
        <v>87.219351372552737</v>
      </c>
      <c r="G17" s="3">
        <f t="shared" si="10"/>
        <v>87.032668770180209</v>
      </c>
      <c r="H17" s="3">
        <f t="shared" si="11"/>
        <v>-18.668260237252809</v>
      </c>
      <c r="I17" s="3">
        <f t="shared" si="12"/>
        <v>80.804460289517436</v>
      </c>
      <c r="J17" s="3">
        <f t="shared" si="13"/>
        <v>-641.48910830352997</v>
      </c>
      <c r="K17" s="3">
        <f t="shared" si="15"/>
        <v>-18.678260237244018</v>
      </c>
      <c r="L17" s="3">
        <f t="shared" si="14"/>
        <v>-653.73910830354066</v>
      </c>
      <c r="M17" s="3">
        <f t="shared" si="16"/>
        <v>2.5545798357551437</v>
      </c>
      <c r="N17" s="3">
        <f t="shared" si="17"/>
        <v>3.5405303350340769</v>
      </c>
    </row>
    <row r="18" spans="1:14" x14ac:dyDescent="0.2">
      <c r="A18">
        <v>9</v>
      </c>
      <c r="B18">
        <v>48</v>
      </c>
      <c r="C18">
        <f t="shared" si="6"/>
        <v>3.5405303350340769</v>
      </c>
      <c r="D18">
        <f t="shared" si="7"/>
        <v>2.5545798357551437</v>
      </c>
      <c r="E18">
        <f t="shared" si="8"/>
        <v>26.531748856830369</v>
      </c>
      <c r="F18" s="1">
        <f t="shared" si="9"/>
        <v>460.88580714620417</v>
      </c>
      <c r="G18" s="3">
        <f t="shared" si="10"/>
        <v>460.45654212334085</v>
      </c>
      <c r="H18" s="3">
        <f t="shared" si="11"/>
        <v>-42.926502286331925</v>
      </c>
      <c r="I18" s="3">
        <f t="shared" si="12"/>
        <v>457.02962194043363</v>
      </c>
      <c r="J18" s="3">
        <f t="shared" si="13"/>
        <v>-385.61852057705437</v>
      </c>
      <c r="K18" s="3">
        <f t="shared" si="15"/>
        <v>-42.936502286339262</v>
      </c>
      <c r="L18" s="3">
        <f t="shared" si="14"/>
        <v>-386.42852057705335</v>
      </c>
      <c r="M18" s="3">
        <f t="shared" si="16"/>
        <v>2.5932226878128488</v>
      </c>
      <c r="N18" s="3">
        <f t="shared" si="17"/>
        <v>3.5448239852627106</v>
      </c>
    </row>
    <row r="19" spans="1:14" x14ac:dyDescent="0.2">
      <c r="A19">
        <v>38</v>
      </c>
      <c r="B19">
        <v>106</v>
      </c>
      <c r="C19">
        <f t="shared" si="6"/>
        <v>3.5448239852627106</v>
      </c>
      <c r="D19">
        <f t="shared" si="7"/>
        <v>2.5932226878128488</v>
      </c>
      <c r="E19">
        <f t="shared" si="8"/>
        <v>102.08728612215097</v>
      </c>
      <c r="F19" s="1">
        <f t="shared" si="9"/>
        <v>15.309329889912387</v>
      </c>
      <c r="G19" s="3">
        <f t="shared" si="10"/>
        <v>15.231175612355367</v>
      </c>
      <c r="H19" s="3">
        <f t="shared" si="11"/>
        <v>-7.8154277557020535</v>
      </c>
      <c r="I19" s="3">
        <f t="shared" si="12"/>
        <v>12.480067342747258</v>
      </c>
      <c r="J19" s="3">
        <f t="shared" si="13"/>
        <v>-282.92625471651291</v>
      </c>
      <c r="K19" s="3">
        <f t="shared" si="15"/>
        <v>-7.8254277556980583</v>
      </c>
      <c r="L19" s="3">
        <f t="shared" si="14"/>
        <v>-297.36625471652621</v>
      </c>
      <c r="M19" s="3">
        <f t="shared" si="16"/>
        <v>2.6229593132845013</v>
      </c>
      <c r="N19" s="3">
        <f t="shared" si="17"/>
        <v>3.5456065280382805</v>
      </c>
    </row>
    <row r="20" spans="1:14" x14ac:dyDescent="0.2">
      <c r="A20">
        <v>44</v>
      </c>
      <c r="B20">
        <v>118</v>
      </c>
      <c r="C20">
        <f t="shared" si="6"/>
        <v>3.5456065280382805</v>
      </c>
      <c r="D20">
        <f t="shared" si="7"/>
        <v>2.6229593132845013</v>
      </c>
      <c r="E20">
        <f t="shared" si="8"/>
        <v>118.95581631255634</v>
      </c>
      <c r="F20" s="1">
        <f t="shared" si="9"/>
        <v>0.91358482334879298</v>
      </c>
      <c r="G20" s="3">
        <f t="shared" si="10"/>
        <v>0.93280114959992955</v>
      </c>
      <c r="H20" s="3">
        <f t="shared" si="11"/>
        <v>1.9216326251136562</v>
      </c>
      <c r="I20" s="3">
        <f t="shared" si="12"/>
        <v>1.9483031783983233</v>
      </c>
      <c r="J20" s="3">
        <f t="shared" si="13"/>
        <v>103.47183550495305</v>
      </c>
      <c r="K20" s="3">
        <f t="shared" si="15"/>
        <v>1.9116326251126736</v>
      </c>
      <c r="L20" s="3">
        <f t="shared" si="14"/>
        <v>84.111835504957639</v>
      </c>
      <c r="M20" s="3">
        <f t="shared" si="16"/>
        <v>2.6145481297340054</v>
      </c>
      <c r="N20" s="3">
        <f t="shared" si="17"/>
        <v>3.5454153647757694</v>
      </c>
    </row>
    <row r="21" spans="1:14" x14ac:dyDescent="0.2">
      <c r="A21">
        <v>99</v>
      </c>
      <c r="B21">
        <v>228</v>
      </c>
      <c r="C21">
        <f t="shared" si="6"/>
        <v>3.5454153647757694</v>
      </c>
      <c r="D21">
        <f t="shared" si="7"/>
        <v>2.6145481297340054</v>
      </c>
      <c r="E21">
        <f t="shared" si="8"/>
        <v>262.3856802084423</v>
      </c>
      <c r="F21" s="1">
        <f t="shared" si="9"/>
        <v>1182.3750033972601</v>
      </c>
      <c r="G21" s="3">
        <f t="shared" si="10"/>
        <v>1183.0628170014322</v>
      </c>
      <c r="H21" s="3">
        <f t="shared" si="11"/>
        <v>68.781360417210635</v>
      </c>
      <c r="I21" s="3">
        <f t="shared" si="12"/>
        <v>1251.4387502099726</v>
      </c>
      <c r="J21" s="3">
        <f t="shared" si="13"/>
        <v>6906.3746812712452</v>
      </c>
      <c r="K21" s="3">
        <f t="shared" si="15"/>
        <v>68.77136041688459</v>
      </c>
      <c r="L21" s="3">
        <f t="shared" si="14"/>
        <v>6808.3646812715742</v>
      </c>
      <c r="M21" s="3">
        <f t="shared" si="16"/>
        <v>1.9337116616068479</v>
      </c>
      <c r="N21" s="3">
        <f t="shared" si="17"/>
        <v>3.538538228734081</v>
      </c>
    </row>
    <row r="22" spans="1:14" x14ac:dyDescent="0.2">
      <c r="A22">
        <v>13</v>
      </c>
      <c r="B22">
        <v>56</v>
      </c>
      <c r="C22">
        <f t="shared" si="6"/>
        <v>3.538538228734081</v>
      </c>
      <c r="D22">
        <f t="shared" si="7"/>
        <v>1.9337116616068479</v>
      </c>
      <c r="E22">
        <f t="shared" si="8"/>
        <v>28.676789829623104</v>
      </c>
      <c r="F22" s="1">
        <f t="shared" si="9"/>
        <v>746.55781401458751</v>
      </c>
      <c r="G22" s="3">
        <f t="shared" si="10"/>
        <v>746.01144981117989</v>
      </c>
      <c r="H22" s="3">
        <f t="shared" si="11"/>
        <v>-54.636420340762015</v>
      </c>
      <c r="I22" s="3">
        <f t="shared" si="12"/>
        <v>739.47067937028953</v>
      </c>
      <c r="J22" s="3">
        <f t="shared" si="13"/>
        <v>-708.71346442979757</v>
      </c>
      <c r="K22" s="3">
        <f t="shared" si="15"/>
        <v>-54.646420340753792</v>
      </c>
      <c r="L22" s="3">
        <f t="shared" si="14"/>
        <v>-710.40346442979933</v>
      </c>
      <c r="M22" s="3">
        <f t="shared" si="16"/>
        <v>2.0047520080498278</v>
      </c>
      <c r="N22" s="3">
        <f t="shared" si="17"/>
        <v>3.5440028707681566</v>
      </c>
    </row>
    <row r="23" spans="1:14" x14ac:dyDescent="0.2">
      <c r="A23">
        <v>21</v>
      </c>
      <c r="B23">
        <v>72</v>
      </c>
      <c r="C23">
        <f t="shared" si="6"/>
        <v>3.5440028707681566</v>
      </c>
      <c r="D23">
        <f t="shared" si="7"/>
        <v>2.0047520080498278</v>
      </c>
      <c r="E23">
        <f t="shared" si="8"/>
        <v>45.643795039814535</v>
      </c>
      <c r="F23" s="1">
        <f t="shared" si="9"/>
        <v>694.64953990330491</v>
      </c>
      <c r="G23" s="3">
        <f t="shared" si="10"/>
        <v>694.122515804101</v>
      </c>
      <c r="H23" s="3">
        <f t="shared" si="11"/>
        <v>-52.702409920391347</v>
      </c>
      <c r="I23" s="3">
        <f t="shared" si="12"/>
        <v>683.62403382002697</v>
      </c>
      <c r="J23" s="3">
        <f t="shared" si="13"/>
        <v>-1102.5506083277946</v>
      </c>
      <c r="K23" s="3">
        <f t="shared" si="15"/>
        <v>-52.712409920370931</v>
      </c>
      <c r="L23" s="3">
        <f t="shared" si="14"/>
        <v>-1106.9606083277895</v>
      </c>
      <c r="M23" s="3">
        <f t="shared" si="16"/>
        <v>2.1154480688826069</v>
      </c>
      <c r="N23" s="3">
        <f t="shared" si="17"/>
        <v>3.5492741117601936</v>
      </c>
    </row>
    <row r="24" spans="1:14" x14ac:dyDescent="0.2">
      <c r="A24">
        <v>28</v>
      </c>
      <c r="B24">
        <v>86</v>
      </c>
      <c r="C24">
        <f t="shared" si="6"/>
        <v>3.5492741117601936</v>
      </c>
      <c r="D24">
        <f t="shared" si="7"/>
        <v>2.1154480688826069</v>
      </c>
      <c r="E24">
        <f t="shared" si="8"/>
        <v>62.781820040473185</v>
      </c>
      <c r="F24" s="1">
        <f t="shared" si="9"/>
        <v>539.08388063297264</v>
      </c>
      <c r="G24" s="3">
        <f t="shared" si="10"/>
        <v>538.61961703378176</v>
      </c>
      <c r="H24" s="3">
        <f t="shared" si="11"/>
        <v>-46.42635991908719</v>
      </c>
      <c r="I24" s="3">
        <f t="shared" si="12"/>
        <v>526.1600998556379</v>
      </c>
      <c r="J24" s="3">
        <f t="shared" si="13"/>
        <v>-1292.3780777334741</v>
      </c>
      <c r="K24" s="3">
        <f t="shared" si="15"/>
        <v>-46.436359919053629</v>
      </c>
      <c r="L24" s="3">
        <f t="shared" si="14"/>
        <v>-1300.2180777335016</v>
      </c>
      <c r="M24" s="3">
        <f t="shared" si="16"/>
        <v>2.2454698766559571</v>
      </c>
      <c r="N24" s="3">
        <f t="shared" si="17"/>
        <v>3.5539177477520991</v>
      </c>
    </row>
    <row r="25" spans="1:14" x14ac:dyDescent="0.2">
      <c r="A25">
        <v>20</v>
      </c>
      <c r="B25">
        <v>70</v>
      </c>
      <c r="C25">
        <f t="shared" si="6"/>
        <v>3.5539177477520991</v>
      </c>
      <c r="D25">
        <f t="shared" si="7"/>
        <v>2.2454698766559571</v>
      </c>
      <c r="E25">
        <f t="shared" si="8"/>
        <v>48.463315280871242</v>
      </c>
      <c r="F25" s="1">
        <f t="shared" si="9"/>
        <v>463.82878869115416</v>
      </c>
      <c r="G25" s="3">
        <f t="shared" si="10"/>
        <v>463.39815499677167</v>
      </c>
      <c r="H25" s="3">
        <f t="shared" si="11"/>
        <v>-43.06336943824931</v>
      </c>
      <c r="I25" s="3">
        <f t="shared" si="12"/>
        <v>455.25411480350283</v>
      </c>
      <c r="J25" s="3">
        <f t="shared" si="13"/>
        <v>-857.46738876513291</v>
      </c>
      <c r="K25" s="3">
        <f t="shared" si="15"/>
        <v>-43.073369438257515</v>
      </c>
      <c r="L25" s="3">
        <f t="shared" si="14"/>
        <v>-861.4673887651503</v>
      </c>
      <c r="M25" s="3">
        <f t="shared" si="16"/>
        <v>2.331616615532472</v>
      </c>
      <c r="N25" s="3">
        <f t="shared" si="17"/>
        <v>3.5582250846959247</v>
      </c>
    </row>
    <row r="26" spans="1:14" x14ac:dyDescent="0.2">
      <c r="A26">
        <v>8</v>
      </c>
      <c r="B26">
        <v>46</v>
      </c>
      <c r="C26">
        <f t="shared" si="6"/>
        <v>3.5582250846959247</v>
      </c>
      <c r="D26">
        <f t="shared" si="7"/>
        <v>2.331616615532472</v>
      </c>
      <c r="E26">
        <f t="shared" si="8"/>
        <v>22.211158008955699</v>
      </c>
      <c r="F26" s="1">
        <f t="shared" si="9"/>
        <v>565.90900327487259</v>
      </c>
      <c r="G26" s="3">
        <f t="shared" si="10"/>
        <v>565.43332643505164</v>
      </c>
      <c r="H26" s="3">
        <f t="shared" si="11"/>
        <v>-47.567683982094877</v>
      </c>
      <c r="I26" s="3">
        <f t="shared" si="12"/>
        <v>562.10918855630553</v>
      </c>
      <c r="J26" s="3">
        <f t="shared" si="13"/>
        <v>-379.98147185670632</v>
      </c>
      <c r="K26" s="3">
        <f t="shared" si="15"/>
        <v>-47.577683982088601</v>
      </c>
      <c r="L26" s="3">
        <f t="shared" si="14"/>
        <v>-380.62147185670881</v>
      </c>
      <c r="M26" s="3">
        <f t="shared" si="16"/>
        <v>2.3696787627181428</v>
      </c>
      <c r="N26" s="3">
        <f t="shared" si="17"/>
        <v>3.5629828530941334</v>
      </c>
    </row>
    <row r="27" spans="1:14" x14ac:dyDescent="0.2">
      <c r="A27">
        <v>64</v>
      </c>
      <c r="B27">
        <v>158</v>
      </c>
      <c r="C27">
        <f t="shared" si="6"/>
        <v>3.5629828530941334</v>
      </c>
      <c r="D27">
        <f t="shared" si="7"/>
        <v>2.3696787627181428</v>
      </c>
      <c r="E27">
        <f t="shared" si="8"/>
        <v>155.22242366705527</v>
      </c>
      <c r="F27" s="1">
        <f t="shared" si="9"/>
        <v>7.7149302853347104</v>
      </c>
      <c r="G27" s="3">
        <f t="shared" si="10"/>
        <v>7.659478758675708</v>
      </c>
      <c r="H27" s="3">
        <f t="shared" si="11"/>
        <v>-5.5451526659002326</v>
      </c>
      <c r="I27" s="3">
        <f t="shared" si="12"/>
        <v>4.5692325791655097</v>
      </c>
      <c r="J27" s="3">
        <f t="shared" si="13"/>
        <v>-314.56977061692004</v>
      </c>
      <c r="K27" s="3">
        <f t="shared" si="15"/>
        <v>-5.5551526658894659</v>
      </c>
      <c r="L27" s="3">
        <f t="shared" si="14"/>
        <v>-355.52977061692582</v>
      </c>
      <c r="M27" s="3">
        <f t="shared" si="16"/>
        <v>2.4052317397798353</v>
      </c>
      <c r="N27" s="3">
        <f t="shared" si="17"/>
        <v>3.5635383683607222</v>
      </c>
    </row>
    <row r="28" spans="1:14" x14ac:dyDescent="0.2">
      <c r="A28">
        <v>99</v>
      </c>
      <c r="B28">
        <v>228</v>
      </c>
      <c r="C28">
        <f t="shared" si="6"/>
        <v>3.5635383683607222</v>
      </c>
      <c r="D28">
        <f t="shared" si="7"/>
        <v>2.4052317397798353</v>
      </c>
      <c r="E28">
        <f t="shared" si="8"/>
        <v>241.68148060656441</v>
      </c>
      <c r="F28" s="1">
        <f t="shared" si="9"/>
        <v>187.18291158779795</v>
      </c>
      <c r="G28" s="3">
        <f t="shared" si="10"/>
        <v>187.45664119992898</v>
      </c>
      <c r="H28" s="3">
        <f t="shared" si="11"/>
        <v>27.372961213103508</v>
      </c>
      <c r="I28" s="3">
        <f t="shared" si="12"/>
        <v>215.25234318879492</v>
      </c>
      <c r="J28" s="3">
        <f t="shared" si="13"/>
        <v>2806.9431600996977</v>
      </c>
      <c r="K28" s="3">
        <f t="shared" si="15"/>
        <v>27.362961213128813</v>
      </c>
      <c r="L28" s="3">
        <f t="shared" si="14"/>
        <v>2708.9331600997525</v>
      </c>
      <c r="M28" s="3">
        <f t="shared" si="16"/>
        <v>2.1343384237698602</v>
      </c>
      <c r="N28" s="3">
        <f t="shared" si="17"/>
        <v>3.5608020722394094</v>
      </c>
    </row>
    <row r="29" spans="1:14" x14ac:dyDescent="0.2">
      <c r="A29">
        <v>70</v>
      </c>
      <c r="B29">
        <v>170</v>
      </c>
      <c r="C29">
        <f t="shared" si="6"/>
        <v>3.5608020722394094</v>
      </c>
      <c r="D29">
        <f t="shared" si="7"/>
        <v>2.1343384237698602</v>
      </c>
      <c r="E29">
        <f t="shared" si="8"/>
        <v>152.96449173612962</v>
      </c>
      <c r="F29" s="1">
        <f t="shared" si="9"/>
        <v>290.20854180839615</v>
      </c>
      <c r="G29" s="3">
        <f t="shared" si="10"/>
        <v>289.86793164311808</v>
      </c>
      <c r="H29" s="3">
        <f t="shared" si="11"/>
        <v>-34.061016527806487</v>
      </c>
      <c r="I29" s="3">
        <f t="shared" si="12"/>
        <v>266.84883023897794</v>
      </c>
      <c r="J29" s="3">
        <f t="shared" si="13"/>
        <v>-2335.9711569418209</v>
      </c>
      <c r="K29" s="3">
        <f t="shared" si="15"/>
        <v>-34.071016527740767</v>
      </c>
      <c r="L29" s="3">
        <f t="shared" si="14"/>
        <v>-2384.9711569418537</v>
      </c>
      <c r="M29" s="3">
        <f t="shared" si="16"/>
        <v>2.3728355394640457</v>
      </c>
      <c r="N29" s="3">
        <f t="shared" si="17"/>
        <v>3.5642091738921833</v>
      </c>
    </row>
    <row r="30" spans="1:14" x14ac:dyDescent="0.2">
      <c r="A30">
        <v>27</v>
      </c>
      <c r="B30">
        <v>84</v>
      </c>
      <c r="C30">
        <f t="shared" si="6"/>
        <v>3.5642091738921833</v>
      </c>
      <c r="D30">
        <f t="shared" si="7"/>
        <v>2.3728355394640457</v>
      </c>
      <c r="E30">
        <f t="shared" si="8"/>
        <v>67.630768739421413</v>
      </c>
      <c r="F30" s="1">
        <f t="shared" si="9"/>
        <v>267.95173206230322</v>
      </c>
      <c r="G30" s="3">
        <f t="shared" si="10"/>
        <v>267.62444743709153</v>
      </c>
      <c r="H30" s="3">
        <f t="shared" si="11"/>
        <v>-32.728462521168922</v>
      </c>
      <c r="I30" s="3">
        <f t="shared" si="12"/>
        <v>259.18524718159091</v>
      </c>
      <c r="J30" s="3">
        <f t="shared" si="13"/>
        <v>-876.64848807123121</v>
      </c>
      <c r="K30" s="3">
        <f t="shared" si="15"/>
        <v>-32.738462521157174</v>
      </c>
      <c r="L30" s="3">
        <f t="shared" si="14"/>
        <v>-883.93848807124368</v>
      </c>
      <c r="M30" s="3">
        <f t="shared" si="16"/>
        <v>2.4612293882711702</v>
      </c>
      <c r="N30" s="3">
        <f t="shared" si="17"/>
        <v>3.5674830201442989</v>
      </c>
    </row>
    <row r="31" spans="1:14" x14ac:dyDescent="0.2">
      <c r="A31">
        <v>17</v>
      </c>
      <c r="B31">
        <v>64</v>
      </c>
      <c r="C31">
        <f t="shared" si="6"/>
        <v>3.5674830201442989</v>
      </c>
      <c r="D31">
        <f t="shared" si="7"/>
        <v>2.4612293882711702</v>
      </c>
      <c r="E31">
        <f t="shared" si="8"/>
        <v>45.408382620754196</v>
      </c>
      <c r="F31" s="1">
        <f t="shared" si="9"/>
        <v>345.64823677627459</v>
      </c>
      <c r="G31" s="3">
        <f t="shared" si="10"/>
        <v>345.27650442868975</v>
      </c>
      <c r="H31" s="3">
        <f t="shared" si="11"/>
        <v>-37.173234758483886</v>
      </c>
      <c r="I31" s="3">
        <f t="shared" si="12"/>
        <v>339.35598686733124</v>
      </c>
      <c r="J31" s="3">
        <f t="shared" si="13"/>
        <v>-629.22499089433472</v>
      </c>
      <c r="K31" s="3">
        <f t="shared" si="15"/>
        <v>-37.183234758491608</v>
      </c>
      <c r="L31" s="3">
        <f t="shared" si="14"/>
        <v>-632.11499089435733</v>
      </c>
      <c r="M31" s="3">
        <f t="shared" si="16"/>
        <v>2.5244408873606061</v>
      </c>
      <c r="N31" s="3">
        <f t="shared" si="17"/>
        <v>3.5712013436201482</v>
      </c>
    </row>
    <row r="32" spans="1:14" x14ac:dyDescent="0.2">
      <c r="A32">
        <v>8</v>
      </c>
      <c r="B32">
        <v>46</v>
      </c>
      <c r="C32">
        <f t="shared" si="6"/>
        <v>3.5712013436201482</v>
      </c>
      <c r="D32">
        <f t="shared" si="7"/>
        <v>2.5244408873606061</v>
      </c>
      <c r="E32">
        <f t="shared" si="8"/>
        <v>23.766728442504998</v>
      </c>
      <c r="F32" s="1">
        <f t="shared" si="9"/>
        <v>494.31836414931621</v>
      </c>
      <c r="G32" s="3">
        <f t="shared" si="10"/>
        <v>493.87379871816643</v>
      </c>
      <c r="H32" s="3">
        <f t="shared" si="11"/>
        <v>-44.456543114978331</v>
      </c>
      <c r="I32" s="3">
        <f t="shared" si="12"/>
        <v>490.76744070011711</v>
      </c>
      <c r="J32" s="3">
        <f t="shared" si="13"/>
        <v>-355.09234491991037</v>
      </c>
      <c r="K32" s="3">
        <f t="shared" si="15"/>
        <v>-44.466543114990003</v>
      </c>
      <c r="L32" s="3">
        <f t="shared" si="14"/>
        <v>-355.73234491992002</v>
      </c>
      <c r="M32" s="3">
        <f t="shared" si="16"/>
        <v>2.560014121852598</v>
      </c>
      <c r="N32" s="3">
        <f t="shared" si="17"/>
        <v>3.5756479979316471</v>
      </c>
    </row>
    <row r="33" spans="3:12" x14ac:dyDescent="0.2">
      <c r="E33" t="s">
        <v>2</v>
      </c>
      <c r="F33" s="1">
        <f>SQRT(SUM(F4:F32))</f>
        <v>95.855238512472738</v>
      </c>
      <c r="K33" s="3">
        <f>SQRT(SUMSQ(K4:K32))</f>
        <v>191.71047702494548</v>
      </c>
      <c r="L33" s="3">
        <f>SQRT(SUMSQ(L4:L32))</f>
        <v>9712.1417889867007</v>
      </c>
    </row>
    <row r="36" spans="3:12" x14ac:dyDescent="0.2">
      <c r="C36" t="s">
        <v>20</v>
      </c>
    </row>
    <row r="37" spans="3:12" x14ac:dyDescent="0.2">
      <c r="C37" t="s">
        <v>2</v>
      </c>
    </row>
    <row r="38" spans="3:12" x14ac:dyDescent="0.2">
      <c r="C38">
        <v>150.75521153771854</v>
      </c>
    </row>
    <row r="39" spans="3:12" x14ac:dyDescent="0.2">
      <c r="C39">
        <v>104.74921026693299</v>
      </c>
    </row>
    <row r="40" spans="3:12" x14ac:dyDescent="0.2">
      <c r="C40">
        <v>104.55969980561993</v>
      </c>
    </row>
    <row r="41" spans="3:12" x14ac:dyDescent="0.2">
      <c r="C41">
        <v>104.37053295106034</v>
      </c>
    </row>
    <row r="42" spans="3:12" x14ac:dyDescent="0.2">
      <c r="C42">
        <v>104.18170833255277</v>
      </c>
    </row>
    <row r="43" spans="3:12" x14ac:dyDescent="0.2">
      <c r="C43">
        <v>103.99322533093216</v>
      </c>
    </row>
    <row r="44" spans="3:12" x14ac:dyDescent="0.2">
      <c r="C44">
        <v>103.8050833281535</v>
      </c>
    </row>
    <row r="45" spans="3:12" x14ac:dyDescent="0.2">
      <c r="C45">
        <v>103.6172817072901</v>
      </c>
    </row>
    <row r="46" spans="3:12" x14ac:dyDescent="0.2">
      <c r="C46">
        <v>103.42981985253128</v>
      </c>
    </row>
    <row r="47" spans="3:12" x14ac:dyDescent="0.2">
      <c r="C47">
        <v>103.24269714918051</v>
      </c>
    </row>
    <row r="48" spans="3:12" x14ac:dyDescent="0.2">
      <c r="C48">
        <v>103.05591298365337</v>
      </c>
    </row>
    <row r="49" spans="3:3" x14ac:dyDescent="0.2">
      <c r="C49">
        <v>102.86946674347551</v>
      </c>
    </row>
    <row r="50" spans="3:3" x14ac:dyDescent="0.2">
      <c r="C50">
        <v>102.68335781728057</v>
      </c>
    </row>
    <row r="51" spans="3:3" x14ac:dyDescent="0.2">
      <c r="C51">
        <v>102.4975855948084</v>
      </c>
    </row>
    <row r="52" spans="3:3" x14ac:dyDescent="0.2">
      <c r="C52">
        <v>102.3121494669028</v>
      </c>
    </row>
    <row r="53" spans="3:3" x14ac:dyDescent="0.2">
      <c r="C53">
        <v>102.12704882550973</v>
      </c>
    </row>
    <row r="54" spans="3:3" x14ac:dyDescent="0.2">
      <c r="C54">
        <v>101.94228306367516</v>
      </c>
    </row>
    <row r="55" spans="3:3" x14ac:dyDescent="0.2">
      <c r="C55">
        <v>101.75785157554326</v>
      </c>
    </row>
    <row r="56" spans="3:3" x14ac:dyDescent="0.2">
      <c r="C56">
        <v>101.57375375635399</v>
      </c>
    </row>
    <row r="57" spans="3:3" x14ac:dyDescent="0.2">
      <c r="C57">
        <v>101.38998900244196</v>
      </c>
    </row>
    <row r="58" spans="3:3" x14ac:dyDescent="0.2">
      <c r="C58">
        <v>101.20655671123335</v>
      </c>
    </row>
    <row r="59" spans="3:3" x14ac:dyDescent="0.2">
      <c r="C59">
        <v>101.02345628124486</v>
      </c>
    </row>
    <row r="60" spans="3:3" x14ac:dyDescent="0.2">
      <c r="C60">
        <v>100.84068711208128</v>
      </c>
    </row>
    <row r="61" spans="3:3" x14ac:dyDescent="0.2">
      <c r="C61">
        <v>100.65824860443367</v>
      </c>
    </row>
    <row r="62" spans="3:3" x14ac:dyDescent="0.2">
      <c r="C62">
        <v>100.47614016007725</v>
      </c>
    </row>
    <row r="63" spans="3:3" x14ac:dyDescent="0.2">
      <c r="C63">
        <v>100.29436118186949</v>
      </c>
    </row>
    <row r="64" spans="3:3" x14ac:dyDescent="0.2">
      <c r="C64">
        <v>100.11291107374836</v>
      </c>
    </row>
    <row r="65" spans="3:3" x14ac:dyDescent="0.2">
      <c r="C65">
        <v>99.931789240730168</v>
      </c>
    </row>
    <row r="66" spans="3:3" x14ac:dyDescent="0.2">
      <c r="C66">
        <v>99.750995088907572</v>
      </c>
    </row>
    <row r="67" spans="3:3" x14ac:dyDescent="0.2">
      <c r="C67">
        <v>99.570528025447729</v>
      </c>
    </row>
    <row r="68" spans="3:3" x14ac:dyDescent="0.2">
      <c r="C68">
        <v>99.390387458590467</v>
      </c>
    </row>
    <row r="69" spans="3:3" x14ac:dyDescent="0.2">
      <c r="C69">
        <v>99.210572797645995</v>
      </c>
    </row>
    <row r="70" spans="3:3" x14ac:dyDescent="0.2">
      <c r="C70">
        <v>99.031083452993357</v>
      </c>
    </row>
    <row r="71" spans="3:3" x14ac:dyDescent="0.2">
      <c r="C71">
        <v>98.851918836078184</v>
      </c>
    </row>
    <row r="72" spans="3:3" x14ac:dyDescent="0.2">
      <c r="C72">
        <v>98.673078359411136</v>
      </c>
    </row>
    <row r="73" spans="3:3" x14ac:dyDescent="0.2">
      <c r="C73">
        <v>98.49456143656549</v>
      </c>
    </row>
    <row r="74" spans="3:3" x14ac:dyDescent="0.2">
      <c r="C74">
        <v>98.316367482175536</v>
      </c>
    </row>
    <row r="75" spans="3:3" x14ac:dyDescent="0.2">
      <c r="C75">
        <v>98.138495911934797</v>
      </c>
    </row>
    <row r="76" spans="3:3" x14ac:dyDescent="0.2">
      <c r="C76">
        <v>97.960946142593627</v>
      </c>
    </row>
    <row r="77" spans="3:3" x14ac:dyDescent="0.2">
      <c r="C77">
        <v>97.783717591957668</v>
      </c>
    </row>
    <row r="78" spans="3:3" x14ac:dyDescent="0.2">
      <c r="C78">
        <v>97.606809678885995</v>
      </c>
    </row>
    <row r="79" spans="3:3" x14ac:dyDescent="0.2">
      <c r="C79">
        <v>97.430221823288875</v>
      </c>
    </row>
    <row r="80" spans="3:3" x14ac:dyDescent="0.2">
      <c r="C80">
        <v>97.253953446126133</v>
      </c>
    </row>
    <row r="81" spans="3:3" x14ac:dyDescent="0.2">
      <c r="C81">
        <v>97.078003969405287</v>
      </c>
    </row>
    <row r="82" spans="3:3" x14ac:dyDescent="0.2">
      <c r="C82">
        <v>96.902372816179309</v>
      </c>
    </row>
    <row r="83" spans="3:3" x14ac:dyDescent="0.2">
      <c r="C83">
        <v>96.727059410545252</v>
      </c>
    </row>
    <row r="84" spans="3:3" x14ac:dyDescent="0.2">
      <c r="C84">
        <v>96.552063177641841</v>
      </c>
    </row>
    <row r="85" spans="3:3" x14ac:dyDescent="0.2">
      <c r="C85">
        <v>96.377383543647966</v>
      </c>
    </row>
    <row r="86" spans="3:3" x14ac:dyDescent="0.2">
      <c r="C86">
        <v>96.203019935780588</v>
      </c>
    </row>
    <row r="87" spans="3:3" x14ac:dyDescent="0.2">
      <c r="C87">
        <v>96.028971782292956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27AD3-80DA-AD48-9D04-4F5B0B7BF5FC}">
  <sheetPr codeName="basic2"/>
  <dimension ref="A1:N38"/>
  <sheetViews>
    <sheetView zoomScale="130" zoomScaleNormal="130" workbookViewId="0">
      <pane ySplit="4" topLeftCell="A5" activePane="bottomLeft" state="frozen"/>
      <selection pane="bottomLeft" activeCell="J35" sqref="J35"/>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9.83203125" customWidth="1"/>
    <col min="7" max="7" width="8.6640625" bestFit="1" customWidth="1"/>
    <col min="8" max="8" width="12"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H1" t="s">
        <v>102</v>
      </c>
      <c r="I1" t="s">
        <v>108</v>
      </c>
      <c r="L1" t="s">
        <v>4</v>
      </c>
    </row>
    <row r="2" spans="1:14" ht="17.5" customHeight="1" x14ac:dyDescent="0.2">
      <c r="B2" t="s">
        <v>0</v>
      </c>
      <c r="C2">
        <v>1</v>
      </c>
      <c r="H2" t="s">
        <v>103</v>
      </c>
      <c r="I2" t="s">
        <v>101</v>
      </c>
      <c r="K2" t="s">
        <v>5</v>
      </c>
    </row>
    <row r="3" spans="1:14" ht="17.5" customHeight="1" x14ac:dyDescent="0.2">
      <c r="F3" t="s">
        <v>3</v>
      </c>
    </row>
    <row r="4" spans="1:14" s="2" customFormat="1" x14ac:dyDescent="0.2">
      <c r="A4" s="2" t="s">
        <v>15</v>
      </c>
      <c r="B4" s="2" t="s">
        <v>16</v>
      </c>
      <c r="C4" s="2" t="s">
        <v>73</v>
      </c>
      <c r="D4" s="2" t="s">
        <v>72</v>
      </c>
      <c r="E4" s="2" t="s">
        <v>17</v>
      </c>
      <c r="F4" s="2" t="s">
        <v>1</v>
      </c>
      <c r="G4" s="2" t="s">
        <v>7</v>
      </c>
      <c r="H4" s="2" t="s">
        <v>10</v>
      </c>
      <c r="I4" s="2" t="s">
        <v>8</v>
      </c>
      <c r="J4" s="2" t="s">
        <v>11</v>
      </c>
      <c r="K4" s="2" t="s">
        <v>6</v>
      </c>
      <c r="L4" s="2" t="s">
        <v>9</v>
      </c>
      <c r="M4" s="2" t="s">
        <v>12</v>
      </c>
      <c r="N4" s="2" t="s">
        <v>13</v>
      </c>
    </row>
    <row r="5" spans="1:14" x14ac:dyDescent="0.2">
      <c r="A5">
        <v>14</v>
      </c>
      <c r="B5">
        <v>58</v>
      </c>
      <c r="C5" s="7">
        <f>C1</f>
        <v>1</v>
      </c>
      <c r="D5" s="7">
        <f>C2</f>
        <v>1</v>
      </c>
      <c r="E5" s="7">
        <f>C5+D5*A5</f>
        <v>15</v>
      </c>
      <c r="F5" s="7">
        <f>(B5-E5)^2</f>
        <v>1849</v>
      </c>
      <c r="G5" s="3">
        <f>(((C5+0.01)+A5*D5)-B5)^2</f>
        <v>1848.1401000000001</v>
      </c>
      <c r="H5" s="7">
        <f>(G5-F5)/0.01</f>
        <v>-85.989999999992506</v>
      </c>
      <c r="I5" s="7">
        <f>(((D5+0.01)*A5+C5)-B5)^2</f>
        <v>1836.9795999999999</v>
      </c>
      <c r="J5" s="3">
        <f>(I5-F5)/0.01</f>
        <v>-1202.0400000000109</v>
      </c>
      <c r="K5" s="3">
        <f>2*(E5-B5)</f>
        <v>-86</v>
      </c>
      <c r="L5" s="3">
        <f>K5*A5</f>
        <v>-1204</v>
      </c>
      <c r="M5" s="3">
        <f>D5-J5*$F$1</f>
        <v>1.1202040000000011</v>
      </c>
      <c r="N5" s="3">
        <f>C5-H5*$F$1</f>
        <v>1.0085989999999994</v>
      </c>
    </row>
    <row r="6" spans="1:14" x14ac:dyDescent="0.2">
      <c r="A6">
        <v>86</v>
      </c>
      <c r="B6">
        <v>202</v>
      </c>
      <c r="C6" s="7">
        <f>N5</f>
        <v>1.0085989999999994</v>
      </c>
      <c r="D6" s="7">
        <f>M5</f>
        <v>1.1202040000000011</v>
      </c>
      <c r="E6" s="7">
        <f>C6+D6*A6</f>
        <v>97.346143000000097</v>
      </c>
      <c r="F6" s="7">
        <f>(B6-E6)^2</f>
        <v>10952.429784976428</v>
      </c>
      <c r="G6" s="3">
        <f>(((C6+0.01)+A6*D6)-B6)^2</f>
        <v>10950.336807836431</v>
      </c>
      <c r="H6" s="7">
        <f>(G6-F6)/0.01</f>
        <v>-209.29771399969468</v>
      </c>
      <c r="I6" s="7">
        <f>(((D6+0.01)*A6+C6)-B6)^2</f>
        <v>10773.164750936428</v>
      </c>
      <c r="J6" s="3">
        <f>(I6-F6)/0.01</f>
        <v>-17926.503403999959</v>
      </c>
      <c r="K6" s="3">
        <f t="shared" ref="K6:K33" si="0">2*(E6-B6)</f>
        <v>-209.30771399999981</v>
      </c>
      <c r="L6" s="3">
        <f>K6*A6</f>
        <v>-18000.463403999984</v>
      </c>
      <c r="M6" s="3">
        <f t="shared" ref="M6:M33" si="1">D6-J6*$F$1</f>
        <v>2.9128543403999974</v>
      </c>
      <c r="N6" s="3">
        <f t="shared" ref="N6:N33" si="2">C6-H6*$F$1</f>
        <v>1.0295287713999688</v>
      </c>
    </row>
    <row r="7" spans="1:14" x14ac:dyDescent="0.2">
      <c r="A7">
        <v>28</v>
      </c>
      <c r="B7">
        <v>86</v>
      </c>
      <c r="C7" s="7">
        <f>N6</f>
        <v>1.0295287713999688</v>
      </c>
      <c r="D7" s="7">
        <f>M6</f>
        <v>2.9128543403999974</v>
      </c>
      <c r="E7" s="7">
        <f>C7+D7*A7</f>
        <v>82.5894503025999</v>
      </c>
      <c r="F7" s="7">
        <f>(B7-E7)^2</f>
        <v>11.631849238435914</v>
      </c>
      <c r="G7" s="3">
        <f>(((C7+0.01)+A7*D7)-B7)^2</f>
        <v>11.563738244487876</v>
      </c>
      <c r="H7" s="7">
        <f>(G7-F7)/0.01</f>
        <v>-6.8110993948037546</v>
      </c>
      <c r="I7" s="7">
        <f>(((D7+0.01)*A7+C7)-B7)^2</f>
        <v>9.8003414078919384</v>
      </c>
      <c r="J7" s="3">
        <f>(I7-F7)/0.01</f>
        <v>-183.15078305439752</v>
      </c>
      <c r="K7" s="3">
        <f t="shared" si="0"/>
        <v>-6.8210993948001999</v>
      </c>
      <c r="L7" s="3">
        <f>K7*A7</f>
        <v>-190.9907830544056</v>
      </c>
      <c r="M7" s="3">
        <f t="shared" si="1"/>
        <v>2.9311694187054371</v>
      </c>
      <c r="N7" s="3">
        <f t="shared" si="2"/>
        <v>1.0302098813394491</v>
      </c>
    </row>
    <row r="8" spans="1:14" x14ac:dyDescent="0.2">
      <c r="A8">
        <v>51</v>
      </c>
      <c r="B8">
        <v>132</v>
      </c>
      <c r="C8" s="7">
        <f t="shared" ref="C8:C33" si="3">N7</f>
        <v>1.0302098813394491</v>
      </c>
      <c r="D8" s="7">
        <f t="shared" ref="D8:D33" si="4">M7</f>
        <v>2.9311694187054371</v>
      </c>
      <c r="E8" s="7">
        <f t="shared" ref="E8:E33" si="5">C8+D8*A8</f>
        <v>150.51985023531674</v>
      </c>
      <c r="F8" s="7">
        <f t="shared" ref="F8:F33" si="6">(B8-E8)^2</f>
        <v>342.98485273856147</v>
      </c>
      <c r="G8" s="3">
        <f t="shared" ref="G8:G33" si="7">(((C8+0.01)+A8*D8)-B8)^2</f>
        <v>343.35534974326742</v>
      </c>
      <c r="H8" s="7">
        <f t="shared" ref="H8:H33" si="8">(G8-F8)/0.01</f>
        <v>37.049700470595326</v>
      </c>
      <c r="I8" s="7">
        <f t="shared" ref="I8:I33" si="9">(((D8+0.01)*A8+C8)-B8)^2</f>
        <v>362.13519997858418</v>
      </c>
      <c r="J8" s="3">
        <f t="shared" ref="J8:J33" si="10">(I8-F8)/0.01</f>
        <v>1915.0347240022711</v>
      </c>
      <c r="K8" s="3">
        <f t="shared" si="0"/>
        <v>37.039700470633477</v>
      </c>
      <c r="L8" s="3">
        <f t="shared" ref="L8:L33" si="11">K8*A8</f>
        <v>1889.0247240023073</v>
      </c>
      <c r="M8" s="3">
        <f t="shared" si="1"/>
        <v>2.7396659463052102</v>
      </c>
      <c r="N8" s="3">
        <f t="shared" si="2"/>
        <v>1.0265049112923896</v>
      </c>
    </row>
    <row r="9" spans="1:14" x14ac:dyDescent="0.2">
      <c r="A9">
        <v>28</v>
      </c>
      <c r="B9">
        <v>86</v>
      </c>
      <c r="C9" s="7">
        <f t="shared" si="3"/>
        <v>1.0265049112923896</v>
      </c>
      <c r="D9" s="7">
        <f t="shared" si="4"/>
        <v>2.7396659463052102</v>
      </c>
      <c r="E9" s="7">
        <f t="shared" si="5"/>
        <v>77.737151407838283</v>
      </c>
      <c r="F9" s="7">
        <f t="shared" si="6"/>
        <v>68.274666856988873</v>
      </c>
      <c r="G9" s="3">
        <f t="shared" si="7"/>
        <v>68.109509885145783</v>
      </c>
      <c r="H9" s="7">
        <f t="shared" si="8"/>
        <v>-16.51569718430892</v>
      </c>
      <c r="I9" s="7">
        <f t="shared" si="9"/>
        <v>63.725871645378518</v>
      </c>
      <c r="J9" s="3">
        <f t="shared" si="10"/>
        <v>-454.87952116103543</v>
      </c>
      <c r="K9" s="3">
        <f t="shared" si="0"/>
        <v>-16.525697184323434</v>
      </c>
      <c r="L9" s="3">
        <f t="shared" si="11"/>
        <v>-462.71952116105615</v>
      </c>
      <c r="M9" s="3">
        <f t="shared" si="1"/>
        <v>2.7851538984213136</v>
      </c>
      <c r="N9" s="3">
        <f t="shared" si="2"/>
        <v>1.0281564810108206</v>
      </c>
    </row>
    <row r="10" spans="1:14" x14ac:dyDescent="0.2">
      <c r="A10">
        <v>29</v>
      </c>
      <c r="B10">
        <v>88</v>
      </c>
      <c r="C10" s="7">
        <f t="shared" si="3"/>
        <v>1.0281564810108206</v>
      </c>
      <c r="D10" s="7">
        <f t="shared" si="4"/>
        <v>2.7851538984213136</v>
      </c>
      <c r="E10" s="7">
        <f t="shared" si="5"/>
        <v>81.797619535228918</v>
      </c>
      <c r="F10" s="7">
        <f t="shared" si="6"/>
        <v>38.469523429773943</v>
      </c>
      <c r="G10" s="3">
        <f t="shared" si="7"/>
        <v>38.345575820478629</v>
      </c>
      <c r="H10" s="7">
        <f t="shared" si="8"/>
        <v>-12.394760929531401</v>
      </c>
      <c r="I10" s="7">
        <f t="shared" si="9"/>
        <v>34.956242760206806</v>
      </c>
      <c r="J10" s="3">
        <f t="shared" si="10"/>
        <v>-351.32806695671377</v>
      </c>
      <c r="K10" s="3">
        <f t="shared" si="0"/>
        <v>-12.404760929542164</v>
      </c>
      <c r="L10" s="3">
        <f t="shared" si="11"/>
        <v>-359.73806695672272</v>
      </c>
      <c r="M10" s="3">
        <f t="shared" si="1"/>
        <v>2.8202867051169851</v>
      </c>
      <c r="N10" s="3">
        <f t="shared" si="2"/>
        <v>1.0293959571037736</v>
      </c>
    </row>
    <row r="11" spans="1:14" x14ac:dyDescent="0.2">
      <c r="A11">
        <v>72</v>
      </c>
      <c r="B11">
        <v>174</v>
      </c>
      <c r="C11" s="7">
        <f t="shared" si="3"/>
        <v>1.0293959571037736</v>
      </c>
      <c r="D11" s="7">
        <f t="shared" si="4"/>
        <v>2.8202867051169851</v>
      </c>
      <c r="E11" s="7">
        <f t="shared" si="5"/>
        <v>204.09003872552671</v>
      </c>
      <c r="F11" s="7">
        <f t="shared" si="6"/>
        <v>905.41043050369706</v>
      </c>
      <c r="G11" s="3">
        <f t="shared" si="7"/>
        <v>906.01233127820706</v>
      </c>
      <c r="H11" s="7">
        <f t="shared" si="8"/>
        <v>60.190077450999979</v>
      </c>
      <c r="I11" s="7">
        <f t="shared" si="9"/>
        <v>949.2584862684555</v>
      </c>
      <c r="J11" s="3">
        <f t="shared" si="10"/>
        <v>4384.8055764758437</v>
      </c>
      <c r="K11" s="3">
        <f t="shared" si="0"/>
        <v>60.180077451053421</v>
      </c>
      <c r="L11" s="3">
        <f t="shared" si="11"/>
        <v>4332.9655764758463</v>
      </c>
      <c r="M11" s="3">
        <f t="shared" si="1"/>
        <v>2.3818061474694008</v>
      </c>
      <c r="N11" s="3">
        <f t="shared" si="2"/>
        <v>1.0233769493586737</v>
      </c>
    </row>
    <row r="12" spans="1:14" x14ac:dyDescent="0.2">
      <c r="A12">
        <v>62</v>
      </c>
      <c r="B12">
        <v>154</v>
      </c>
      <c r="C12" s="7">
        <f t="shared" si="3"/>
        <v>1.0233769493586737</v>
      </c>
      <c r="D12" s="7">
        <f t="shared" si="4"/>
        <v>2.3818061474694008</v>
      </c>
      <c r="E12" s="7">
        <f t="shared" si="5"/>
        <v>148.6953580924615</v>
      </c>
      <c r="F12" s="7">
        <f t="shared" si="6"/>
        <v>28.139225767213656</v>
      </c>
      <c r="G12" s="3">
        <f t="shared" si="7"/>
        <v>28.033232929062681</v>
      </c>
      <c r="H12" s="7">
        <f t="shared" si="8"/>
        <v>-10.599283815097493</v>
      </c>
      <c r="I12" s="7">
        <f t="shared" si="9"/>
        <v>21.945869801865875</v>
      </c>
      <c r="J12" s="3">
        <f t="shared" si="10"/>
        <v>-619.33559653477812</v>
      </c>
      <c r="K12" s="3">
        <f t="shared" si="0"/>
        <v>-10.609283815076992</v>
      </c>
      <c r="L12" s="3">
        <f t="shared" si="11"/>
        <v>-657.77559653477351</v>
      </c>
      <c r="M12" s="3">
        <f t="shared" si="1"/>
        <v>2.4437397071228788</v>
      </c>
      <c r="N12" s="3">
        <f t="shared" si="2"/>
        <v>1.0244368777401835</v>
      </c>
    </row>
    <row r="13" spans="1:14" x14ac:dyDescent="0.2">
      <c r="A13">
        <v>84</v>
      </c>
      <c r="B13">
        <v>198</v>
      </c>
      <c r="C13" s="7">
        <f t="shared" si="3"/>
        <v>1.0244368777401835</v>
      </c>
      <c r="D13" s="7">
        <f t="shared" si="4"/>
        <v>2.4437397071228788</v>
      </c>
      <c r="E13" s="7">
        <f t="shared" si="5"/>
        <v>206.298572276062</v>
      </c>
      <c r="F13" s="7">
        <f t="shared" si="6"/>
        <v>68.866301821024905</v>
      </c>
      <c r="G13" s="3">
        <f t="shared" si="7"/>
        <v>69.032373266545989</v>
      </c>
      <c r="H13" s="7">
        <f t="shared" si="8"/>
        <v>16.607144552108366</v>
      </c>
      <c r="I13" s="7">
        <f t="shared" si="9"/>
        <v>83.513503244808604</v>
      </c>
      <c r="J13" s="3">
        <f t="shared" si="10"/>
        <v>1464.7201423783699</v>
      </c>
      <c r="K13" s="3">
        <f t="shared" si="0"/>
        <v>16.597144552124007</v>
      </c>
      <c r="L13" s="3">
        <f t="shared" si="11"/>
        <v>1394.1601423784166</v>
      </c>
      <c r="M13" s="3">
        <f t="shared" si="1"/>
        <v>2.297267692885042</v>
      </c>
      <c r="N13" s="3">
        <f t="shared" si="2"/>
        <v>1.0227761632849728</v>
      </c>
    </row>
    <row r="14" spans="1:14" x14ac:dyDescent="0.2">
      <c r="A14">
        <v>15</v>
      </c>
      <c r="B14">
        <v>60</v>
      </c>
      <c r="C14" s="7">
        <f t="shared" si="3"/>
        <v>1.0227761632849728</v>
      </c>
      <c r="D14" s="7">
        <f t="shared" si="4"/>
        <v>2.297267692885042</v>
      </c>
      <c r="E14" s="7">
        <f t="shared" si="5"/>
        <v>35.481791556560601</v>
      </c>
      <c r="F14" s="7">
        <f t="shared" si="6"/>
        <v>601.14254527594301</v>
      </c>
      <c r="G14" s="3">
        <f t="shared" si="7"/>
        <v>600.65228110707437</v>
      </c>
      <c r="H14" s="7">
        <f t="shared" si="8"/>
        <v>-49.026416886863444</v>
      </c>
      <c r="I14" s="7">
        <f t="shared" si="9"/>
        <v>593.80958274291129</v>
      </c>
      <c r="J14" s="3">
        <f t="shared" si="10"/>
        <v>-733.29625330317185</v>
      </c>
      <c r="K14" s="3">
        <f t="shared" si="0"/>
        <v>-49.036416886878797</v>
      </c>
      <c r="L14" s="3">
        <f t="shared" si="11"/>
        <v>-735.54625330318197</v>
      </c>
      <c r="M14" s="3">
        <f t="shared" si="1"/>
        <v>2.370597318215359</v>
      </c>
      <c r="N14" s="3">
        <f t="shared" si="2"/>
        <v>1.0276788049736592</v>
      </c>
    </row>
    <row r="15" spans="1:14" x14ac:dyDescent="0.2">
      <c r="A15">
        <v>42</v>
      </c>
      <c r="B15">
        <v>114</v>
      </c>
      <c r="C15" s="7">
        <f t="shared" si="3"/>
        <v>1.0276788049736592</v>
      </c>
      <c r="D15" s="7">
        <f t="shared" si="4"/>
        <v>2.370597318215359</v>
      </c>
      <c r="E15" s="7">
        <f t="shared" si="5"/>
        <v>100.59276617001873</v>
      </c>
      <c r="F15" s="7">
        <f t="shared" si="6"/>
        <v>179.75391897179412</v>
      </c>
      <c r="G15" s="3">
        <f t="shared" si="7"/>
        <v>179.48587429519435</v>
      </c>
      <c r="H15" s="7">
        <f t="shared" si="8"/>
        <v>-26.804467659977149</v>
      </c>
      <c r="I15" s="7">
        <f t="shared" si="9"/>
        <v>168.6682425546098</v>
      </c>
      <c r="J15" s="3">
        <f t="shared" si="10"/>
        <v>-1108.5676417184316</v>
      </c>
      <c r="K15" s="3">
        <f t="shared" si="0"/>
        <v>-26.814467659962531</v>
      </c>
      <c r="L15" s="3">
        <f t="shared" si="11"/>
        <v>-1126.2076417184262</v>
      </c>
      <c r="M15" s="3">
        <f t="shared" si="1"/>
        <v>2.4814540823872022</v>
      </c>
      <c r="N15" s="3">
        <f t="shared" si="2"/>
        <v>1.0303592517396569</v>
      </c>
    </row>
    <row r="16" spans="1:14" x14ac:dyDescent="0.2">
      <c r="A16">
        <v>62</v>
      </c>
      <c r="B16">
        <v>154</v>
      </c>
      <c r="C16" s="7">
        <f t="shared" si="3"/>
        <v>1.0303592517396569</v>
      </c>
      <c r="D16" s="7">
        <f t="shared" si="4"/>
        <v>2.4814540823872022</v>
      </c>
      <c r="E16" s="7">
        <f t="shared" si="5"/>
        <v>154.88051235974621</v>
      </c>
      <c r="F16" s="1">
        <f t="shared" si="6"/>
        <v>0.77530201566583157</v>
      </c>
      <c r="G16" s="3">
        <f t="shared" si="7"/>
        <v>0.79301226286073945</v>
      </c>
      <c r="H16" s="3">
        <f t="shared" si="8"/>
        <v>1.771024719490788</v>
      </c>
      <c r="I16" s="7">
        <f t="shared" si="9"/>
        <v>2.2515373417510549</v>
      </c>
      <c r="J16" s="3">
        <f t="shared" si="10"/>
        <v>147.62353260852231</v>
      </c>
      <c r="K16" s="3">
        <f t="shared" si="0"/>
        <v>1.7610247194924114</v>
      </c>
      <c r="L16" s="3">
        <f t="shared" si="11"/>
        <v>109.1835326085295</v>
      </c>
      <c r="M16" s="3">
        <f t="shared" si="1"/>
        <v>2.4666917291263499</v>
      </c>
      <c r="N16" s="3">
        <f t="shared" si="2"/>
        <v>1.0301821492677079</v>
      </c>
    </row>
    <row r="17" spans="1:14" x14ac:dyDescent="0.2">
      <c r="A17">
        <v>47</v>
      </c>
      <c r="B17">
        <v>124</v>
      </c>
      <c r="C17" s="7">
        <f t="shared" si="3"/>
        <v>1.0301821492677079</v>
      </c>
      <c r="D17" s="7">
        <f t="shared" si="4"/>
        <v>2.4666917291263499</v>
      </c>
      <c r="E17" s="7">
        <f t="shared" si="5"/>
        <v>116.96469341820615</v>
      </c>
      <c r="F17" s="1">
        <f t="shared" si="6"/>
        <v>49.495538699831826</v>
      </c>
      <c r="G17" s="3">
        <f t="shared" si="7"/>
        <v>49.354932568195878</v>
      </c>
      <c r="H17" s="3">
        <f t="shared" si="8"/>
        <v>-14.060613163594837</v>
      </c>
      <c r="I17" s="7">
        <f t="shared" si="9"/>
        <v>43.103250512945813</v>
      </c>
      <c r="J17" s="3">
        <f t="shared" si="10"/>
        <v>-639.22881868860134</v>
      </c>
      <c r="K17" s="3">
        <f t="shared" si="0"/>
        <v>-14.070613163587694</v>
      </c>
      <c r="L17" s="3">
        <f t="shared" si="11"/>
        <v>-661.3188186886216</v>
      </c>
      <c r="M17" s="3">
        <f t="shared" si="1"/>
        <v>2.5306146109952099</v>
      </c>
      <c r="N17" s="3">
        <f t="shared" si="2"/>
        <v>1.0315882105840675</v>
      </c>
    </row>
    <row r="18" spans="1:14" x14ac:dyDescent="0.2">
      <c r="A18">
        <v>35</v>
      </c>
      <c r="B18">
        <v>100</v>
      </c>
      <c r="C18" s="7">
        <f t="shared" si="3"/>
        <v>1.0315882105840675</v>
      </c>
      <c r="D18" s="7">
        <f t="shared" si="4"/>
        <v>2.5306146109952099</v>
      </c>
      <c r="E18" s="7">
        <f t="shared" si="5"/>
        <v>89.60309959541641</v>
      </c>
      <c r="F18" s="1">
        <f t="shared" si="6"/>
        <v>108.09553802283043</v>
      </c>
      <c r="G18" s="3">
        <f t="shared" si="7"/>
        <v>107.88770001473864</v>
      </c>
      <c r="H18" s="3">
        <f t="shared" si="8"/>
        <v>-20.783800809178388</v>
      </c>
      <c r="I18" s="7">
        <f t="shared" si="9"/>
        <v>100.94020773962202</v>
      </c>
      <c r="J18" s="3">
        <f t="shared" si="10"/>
        <v>-715.53302832084</v>
      </c>
      <c r="K18" s="3">
        <f t="shared" si="0"/>
        <v>-20.79380080916718</v>
      </c>
      <c r="L18" s="3">
        <f t="shared" si="11"/>
        <v>-727.78302832085137</v>
      </c>
      <c r="M18" s="3">
        <f t="shared" si="1"/>
        <v>2.602167913827294</v>
      </c>
      <c r="N18" s="3">
        <f t="shared" si="2"/>
        <v>1.0336665906649853</v>
      </c>
    </row>
    <row r="19" spans="1:14" x14ac:dyDescent="0.2">
      <c r="A19">
        <v>9</v>
      </c>
      <c r="B19">
        <v>48</v>
      </c>
      <c r="C19" s="7">
        <f t="shared" si="3"/>
        <v>1.0336665906649853</v>
      </c>
      <c r="D19" s="7">
        <f t="shared" si="4"/>
        <v>2.602167913827294</v>
      </c>
      <c r="E19" s="7">
        <f t="shared" si="5"/>
        <v>24.453177815110632</v>
      </c>
      <c r="F19" s="1">
        <f t="shared" si="6"/>
        <v>554.45283500679818</v>
      </c>
      <c r="G19" s="3">
        <f t="shared" si="7"/>
        <v>553.98199856310032</v>
      </c>
      <c r="H19" s="3">
        <f t="shared" si="8"/>
        <v>-47.083644369786271</v>
      </c>
      <c r="I19" s="7">
        <f t="shared" si="9"/>
        <v>550.22250701351822</v>
      </c>
      <c r="J19" s="3">
        <f t="shared" si="10"/>
        <v>-423.03279932799569</v>
      </c>
      <c r="K19" s="3">
        <f t="shared" si="0"/>
        <v>-47.093644369778737</v>
      </c>
      <c r="L19" s="3">
        <f t="shared" si="11"/>
        <v>-423.84279932800865</v>
      </c>
      <c r="M19" s="3">
        <f t="shared" si="1"/>
        <v>2.6444711937600935</v>
      </c>
      <c r="N19" s="3">
        <f t="shared" si="2"/>
        <v>1.0383749551019639</v>
      </c>
    </row>
    <row r="20" spans="1:14" x14ac:dyDescent="0.2">
      <c r="A20">
        <v>38</v>
      </c>
      <c r="B20">
        <v>106</v>
      </c>
      <c r="C20" s="7">
        <f t="shared" si="3"/>
        <v>1.0383749551019639</v>
      </c>
      <c r="D20" s="7">
        <f t="shared" si="4"/>
        <v>2.6444711937600935</v>
      </c>
      <c r="E20" s="7">
        <f t="shared" si="5"/>
        <v>101.52828031798551</v>
      </c>
      <c r="F20" s="1">
        <f t="shared" si="6"/>
        <v>19.996276914515814</v>
      </c>
      <c r="G20" s="3">
        <f t="shared" si="7"/>
        <v>19.906942520875479</v>
      </c>
      <c r="H20" s="3">
        <f t="shared" si="8"/>
        <v>-8.9334393640335463</v>
      </c>
      <c r="I20" s="7">
        <f t="shared" si="9"/>
        <v>16.742169956184835</v>
      </c>
      <c r="J20" s="3">
        <f t="shared" si="10"/>
        <v>-325.41069583309792</v>
      </c>
      <c r="K20" s="3">
        <f t="shared" si="0"/>
        <v>-8.9434393640289898</v>
      </c>
      <c r="L20" s="3">
        <f t="shared" si="11"/>
        <v>-339.85069583310161</v>
      </c>
      <c r="M20" s="3">
        <f t="shared" si="1"/>
        <v>2.6770122633434035</v>
      </c>
      <c r="N20" s="3">
        <f t="shared" si="2"/>
        <v>1.0392682990383673</v>
      </c>
    </row>
    <row r="21" spans="1:14" x14ac:dyDescent="0.2">
      <c r="A21">
        <v>44</v>
      </c>
      <c r="B21">
        <v>118</v>
      </c>
      <c r="C21" s="7">
        <f t="shared" si="3"/>
        <v>1.0392682990383673</v>
      </c>
      <c r="D21" s="7">
        <f t="shared" si="4"/>
        <v>2.6770122633434035</v>
      </c>
      <c r="E21" s="7">
        <f t="shared" si="5"/>
        <v>118.82780788614812</v>
      </c>
      <c r="F21" s="1">
        <f t="shared" si="6"/>
        <v>0.68526589636902202</v>
      </c>
      <c r="G21" s="3">
        <f t="shared" si="7"/>
        <v>0.70192205409199304</v>
      </c>
      <c r="H21" s="3">
        <f t="shared" si="8"/>
        <v>1.6656157722971021</v>
      </c>
      <c r="I21" s="7">
        <f t="shared" si="9"/>
        <v>1.6073368361793277</v>
      </c>
      <c r="J21" s="3">
        <f t="shared" si="10"/>
        <v>92.207093981030567</v>
      </c>
      <c r="K21" s="3">
        <f t="shared" si="0"/>
        <v>1.6556157722962439</v>
      </c>
      <c r="L21" s="3">
        <f t="shared" si="11"/>
        <v>72.847093981034732</v>
      </c>
      <c r="M21" s="3">
        <f t="shared" si="1"/>
        <v>2.6677915539453005</v>
      </c>
      <c r="N21" s="3">
        <f t="shared" si="2"/>
        <v>1.0391017374611375</v>
      </c>
    </row>
    <row r="22" spans="1:14" x14ac:dyDescent="0.2">
      <c r="A22">
        <v>99</v>
      </c>
      <c r="B22">
        <v>228</v>
      </c>
      <c r="C22" s="7">
        <f t="shared" si="3"/>
        <v>1.0391017374611375</v>
      </c>
      <c r="D22" s="7">
        <f t="shared" si="4"/>
        <v>2.6677915539453005</v>
      </c>
      <c r="E22" s="7">
        <f t="shared" si="5"/>
        <v>265.1504655780459</v>
      </c>
      <c r="F22" s="1">
        <f t="shared" si="6"/>
        <v>1380.1570926655729</v>
      </c>
      <c r="G22" s="3">
        <f t="shared" si="7"/>
        <v>1380.9002019771333</v>
      </c>
      <c r="H22" s="3">
        <f t="shared" si="8"/>
        <v>74.310931156037441</v>
      </c>
      <c r="I22" s="7">
        <f t="shared" si="9"/>
        <v>1454.6951145101002</v>
      </c>
      <c r="J22" s="3">
        <f t="shared" si="10"/>
        <v>7453.8021844527293</v>
      </c>
      <c r="K22" s="3">
        <f t="shared" si="0"/>
        <v>74.300931156091792</v>
      </c>
      <c r="L22" s="3">
        <f t="shared" si="11"/>
        <v>7355.7921844530874</v>
      </c>
      <c r="M22" s="3">
        <f t="shared" si="1"/>
        <v>1.9224113355000276</v>
      </c>
      <c r="N22" s="3">
        <f t="shared" si="2"/>
        <v>1.0316706443455339</v>
      </c>
    </row>
    <row r="23" spans="1:14" x14ac:dyDescent="0.2">
      <c r="A23">
        <v>13</v>
      </c>
      <c r="B23">
        <v>56</v>
      </c>
      <c r="C23" s="7">
        <f t="shared" si="3"/>
        <v>1.0316706443455339</v>
      </c>
      <c r="D23" s="7">
        <f t="shared" si="4"/>
        <v>1.9224113355000276</v>
      </c>
      <c r="E23" s="7">
        <f t="shared" si="5"/>
        <v>26.023018005845895</v>
      </c>
      <c r="F23" s="1">
        <f t="shared" si="6"/>
        <v>898.61944947783945</v>
      </c>
      <c r="G23" s="3">
        <f t="shared" si="7"/>
        <v>898.02000983795642</v>
      </c>
      <c r="H23" s="3">
        <f t="shared" si="8"/>
        <v>-59.94396398830304</v>
      </c>
      <c r="I23" s="7">
        <f t="shared" si="9"/>
        <v>890.84233415935944</v>
      </c>
      <c r="J23" s="3">
        <f t="shared" si="10"/>
        <v>-777.71153184800141</v>
      </c>
      <c r="K23" s="3">
        <f t="shared" si="0"/>
        <v>-59.95396398830821</v>
      </c>
      <c r="L23" s="3">
        <f t="shared" si="11"/>
        <v>-779.4015318480067</v>
      </c>
      <c r="M23" s="3">
        <f t="shared" si="1"/>
        <v>2.0001824886848278</v>
      </c>
      <c r="N23" s="3">
        <f t="shared" si="2"/>
        <v>1.0376650407443642</v>
      </c>
    </row>
    <row r="24" spans="1:14" x14ac:dyDescent="0.2">
      <c r="A24">
        <v>21</v>
      </c>
      <c r="B24">
        <v>72</v>
      </c>
      <c r="C24" s="7">
        <f t="shared" si="3"/>
        <v>1.0376650407443642</v>
      </c>
      <c r="D24" s="7">
        <f t="shared" si="4"/>
        <v>2.0001824886848278</v>
      </c>
      <c r="E24" s="7">
        <f t="shared" si="5"/>
        <v>43.041497303125752</v>
      </c>
      <c r="F24" s="1">
        <f t="shared" si="6"/>
        <v>838.59487844487307</v>
      </c>
      <c r="G24" s="3">
        <f t="shared" si="7"/>
        <v>838.01580839093572</v>
      </c>
      <c r="H24" s="3">
        <f t="shared" si="8"/>
        <v>-57.907005393735744</v>
      </c>
      <c r="I24" s="7">
        <f t="shared" si="9"/>
        <v>826.47640731218632</v>
      </c>
      <c r="J24" s="3">
        <f t="shared" si="10"/>
        <v>-1211.847113268675</v>
      </c>
      <c r="K24" s="3">
        <f t="shared" si="0"/>
        <v>-57.917005393748497</v>
      </c>
      <c r="L24" s="3">
        <f t="shared" si="11"/>
        <v>-1216.2571132687185</v>
      </c>
      <c r="M24" s="3">
        <f t="shared" si="1"/>
        <v>2.1213672000116954</v>
      </c>
      <c r="N24" s="3">
        <f t="shared" si="2"/>
        <v>1.0434557412837377</v>
      </c>
    </row>
    <row r="25" spans="1:14" x14ac:dyDescent="0.2">
      <c r="A25">
        <v>28</v>
      </c>
      <c r="B25">
        <v>86</v>
      </c>
      <c r="C25" s="7">
        <f t="shared" si="3"/>
        <v>1.0434557412837377</v>
      </c>
      <c r="D25" s="7">
        <f t="shared" si="4"/>
        <v>2.1213672000116954</v>
      </c>
      <c r="E25" s="7">
        <f t="shared" si="5"/>
        <v>60.441737341611208</v>
      </c>
      <c r="F25" s="1">
        <f t="shared" si="6"/>
        <v>653.2247901151909</v>
      </c>
      <c r="G25" s="3">
        <f t="shared" si="7"/>
        <v>652.71372486202324</v>
      </c>
      <c r="H25" s="3">
        <f t="shared" si="8"/>
        <v>-51.106525316765783</v>
      </c>
      <c r="I25" s="7">
        <f t="shared" si="9"/>
        <v>638.99056302649342</v>
      </c>
      <c r="J25" s="3">
        <f t="shared" si="10"/>
        <v>-1423.422708869748</v>
      </c>
      <c r="K25" s="3">
        <f t="shared" si="0"/>
        <v>-51.116525316777583</v>
      </c>
      <c r="L25" s="3">
        <f t="shared" si="11"/>
        <v>-1431.2627088697723</v>
      </c>
      <c r="M25" s="3">
        <f t="shared" si="1"/>
        <v>2.2637094708986703</v>
      </c>
      <c r="N25" s="3">
        <f t="shared" si="2"/>
        <v>1.0485663938154144</v>
      </c>
    </row>
    <row r="26" spans="1:14" x14ac:dyDescent="0.2">
      <c r="A26">
        <v>20</v>
      </c>
      <c r="B26">
        <v>70</v>
      </c>
      <c r="C26" s="7">
        <f t="shared" si="3"/>
        <v>1.0485663938154144</v>
      </c>
      <c r="D26" s="7">
        <f t="shared" si="4"/>
        <v>2.2637094708986703</v>
      </c>
      <c r="E26" s="7">
        <f t="shared" si="5"/>
        <v>46.322755811788817</v>
      </c>
      <c r="F26" s="1">
        <f t="shared" si="6"/>
        <v>560.61189234818028</v>
      </c>
      <c r="G26" s="3">
        <f t="shared" si="7"/>
        <v>560.13844746441612</v>
      </c>
      <c r="H26" s="3">
        <f t="shared" si="8"/>
        <v>-47.344488376415939</v>
      </c>
      <c r="I26" s="7">
        <f t="shared" si="9"/>
        <v>551.18099467289596</v>
      </c>
      <c r="J26" s="3">
        <f t="shared" si="10"/>
        <v>-943.08976752843137</v>
      </c>
      <c r="K26" s="3">
        <f t="shared" si="0"/>
        <v>-47.354488376422367</v>
      </c>
      <c r="L26" s="3">
        <f t="shared" si="11"/>
        <v>-947.08976752844728</v>
      </c>
      <c r="M26" s="3">
        <f t="shared" si="1"/>
        <v>2.3580184476515136</v>
      </c>
      <c r="N26" s="3">
        <f t="shared" si="2"/>
        <v>1.0533008426530559</v>
      </c>
    </row>
    <row r="27" spans="1:14" x14ac:dyDescent="0.2">
      <c r="A27">
        <v>8</v>
      </c>
      <c r="B27">
        <v>46</v>
      </c>
      <c r="C27" s="7">
        <f t="shared" si="3"/>
        <v>1.0533008426530559</v>
      </c>
      <c r="D27" s="7">
        <f t="shared" si="4"/>
        <v>2.3580184476515136</v>
      </c>
      <c r="E27" s="7">
        <f t="shared" si="5"/>
        <v>19.917448423865164</v>
      </c>
      <c r="F27" s="1">
        <f t="shared" si="6"/>
        <v>680.29949672173382</v>
      </c>
      <c r="G27" s="3">
        <f t="shared" si="7"/>
        <v>679.77794569021103</v>
      </c>
      <c r="H27" s="3">
        <f t="shared" si="8"/>
        <v>-52.155103152279025</v>
      </c>
      <c r="I27" s="7">
        <f t="shared" si="9"/>
        <v>676.13268846955236</v>
      </c>
      <c r="J27" s="3">
        <f t="shared" si="10"/>
        <v>-416.6808252181454</v>
      </c>
      <c r="K27" s="3">
        <f t="shared" si="0"/>
        <v>-52.165103152269673</v>
      </c>
      <c r="L27" s="3">
        <f t="shared" si="11"/>
        <v>-417.32082521815738</v>
      </c>
      <c r="M27" s="3">
        <f t="shared" si="1"/>
        <v>2.3996865301733283</v>
      </c>
      <c r="N27" s="3">
        <f t="shared" si="2"/>
        <v>1.0585163529682837</v>
      </c>
    </row>
    <row r="28" spans="1:14" x14ac:dyDescent="0.2">
      <c r="A28">
        <v>64</v>
      </c>
      <c r="B28">
        <v>158</v>
      </c>
      <c r="C28" s="7">
        <f t="shared" si="3"/>
        <v>1.0585163529682837</v>
      </c>
      <c r="D28" s="7">
        <f t="shared" si="4"/>
        <v>2.3996865301733283</v>
      </c>
      <c r="E28" s="7">
        <f t="shared" si="5"/>
        <v>154.63845428406131</v>
      </c>
      <c r="F28" s="1">
        <f t="shared" si="6"/>
        <v>11.299989600345755</v>
      </c>
      <c r="G28" s="3">
        <f t="shared" si="7"/>
        <v>11.232858686027042</v>
      </c>
      <c r="H28" s="3">
        <f t="shared" si="8"/>
        <v>-6.7130914318713764</v>
      </c>
      <c r="I28" s="7">
        <f t="shared" si="9"/>
        <v>7.4068110839443069</v>
      </c>
      <c r="J28" s="3">
        <f t="shared" si="10"/>
        <v>-389.31785164014485</v>
      </c>
      <c r="K28" s="3">
        <f t="shared" si="0"/>
        <v>-6.7230914318773785</v>
      </c>
      <c r="L28" s="3">
        <f t="shared" si="11"/>
        <v>-430.27785164015222</v>
      </c>
      <c r="M28" s="3">
        <f t="shared" si="1"/>
        <v>2.4386183153373429</v>
      </c>
      <c r="N28" s="3">
        <f t="shared" si="2"/>
        <v>1.0591876621114709</v>
      </c>
    </row>
    <row r="29" spans="1:14" x14ac:dyDescent="0.2">
      <c r="A29">
        <v>99</v>
      </c>
      <c r="B29">
        <v>228</v>
      </c>
      <c r="C29" s="7">
        <f t="shared" si="3"/>
        <v>1.0591876621114709</v>
      </c>
      <c r="D29" s="7">
        <f t="shared" si="4"/>
        <v>2.4386183153373429</v>
      </c>
      <c r="E29" s="7">
        <f t="shared" si="5"/>
        <v>242.48240088050841</v>
      </c>
      <c r="F29" s="1">
        <f t="shared" si="6"/>
        <v>209.73993526375071</v>
      </c>
      <c r="G29" s="3">
        <f t="shared" si="7"/>
        <v>210.0296832813606</v>
      </c>
      <c r="H29" s="3">
        <f t="shared" si="8"/>
        <v>28.974801760989521</v>
      </c>
      <c r="I29" s="7">
        <f t="shared" si="9"/>
        <v>239.39518900715674</v>
      </c>
      <c r="J29" s="3">
        <f t="shared" si="10"/>
        <v>2965.5253743406033</v>
      </c>
      <c r="K29" s="3">
        <f t="shared" si="0"/>
        <v>28.964801761016815</v>
      </c>
      <c r="L29" s="3">
        <f t="shared" si="11"/>
        <v>2867.5153743406645</v>
      </c>
      <c r="M29" s="3">
        <f t="shared" si="1"/>
        <v>2.1420657779032823</v>
      </c>
      <c r="N29" s="3">
        <f t="shared" si="2"/>
        <v>1.0562901819353718</v>
      </c>
    </row>
    <row r="30" spans="1:14" x14ac:dyDescent="0.2">
      <c r="A30">
        <v>70</v>
      </c>
      <c r="B30">
        <v>170</v>
      </c>
      <c r="C30" s="7">
        <f t="shared" si="3"/>
        <v>1.0562901819353718</v>
      </c>
      <c r="D30" s="7">
        <f t="shared" si="4"/>
        <v>2.1420657779032823</v>
      </c>
      <c r="E30" s="7">
        <f t="shared" si="5"/>
        <v>151.00089463516514</v>
      </c>
      <c r="F30" s="1">
        <f t="shared" si="6"/>
        <v>360.96600466409683</v>
      </c>
      <c r="G30" s="3">
        <f t="shared" si="7"/>
        <v>360.58612255680043</v>
      </c>
      <c r="H30" s="3">
        <f t="shared" si="8"/>
        <v>-37.988210729639604</v>
      </c>
      <c r="I30" s="7">
        <f t="shared" si="9"/>
        <v>334.85725715332842</v>
      </c>
      <c r="J30" s="3">
        <f t="shared" si="10"/>
        <v>-2610.8747510768408</v>
      </c>
      <c r="K30" s="3">
        <f t="shared" si="0"/>
        <v>-37.998210729669722</v>
      </c>
      <c r="L30" s="3">
        <f t="shared" si="11"/>
        <v>-2659.8747510768808</v>
      </c>
      <c r="M30" s="3">
        <f t="shared" si="1"/>
        <v>2.4031532530109665</v>
      </c>
      <c r="N30" s="3">
        <f t="shared" si="2"/>
        <v>1.0600890030083359</v>
      </c>
    </row>
    <row r="31" spans="1:14" x14ac:dyDescent="0.2">
      <c r="A31">
        <v>27</v>
      </c>
      <c r="B31">
        <v>84</v>
      </c>
      <c r="C31" s="7">
        <f t="shared" si="3"/>
        <v>1.0600890030083359</v>
      </c>
      <c r="D31" s="7">
        <f t="shared" si="4"/>
        <v>2.4031532530109665</v>
      </c>
      <c r="E31" s="7">
        <f t="shared" si="5"/>
        <v>65.945226834304421</v>
      </c>
      <c r="F31" s="1">
        <f t="shared" si="6"/>
        <v>325.97483406472116</v>
      </c>
      <c r="G31" s="3">
        <f t="shared" si="7"/>
        <v>325.61383860140705</v>
      </c>
      <c r="H31" s="3">
        <f t="shared" si="8"/>
        <v>-36.099546331411148</v>
      </c>
      <c r="I31" s="7">
        <f t="shared" si="9"/>
        <v>316.29815655524567</v>
      </c>
      <c r="J31" s="3">
        <f t="shared" si="10"/>
        <v>-967.66775094754962</v>
      </c>
      <c r="K31" s="3">
        <f t="shared" si="0"/>
        <v>-36.109546331391158</v>
      </c>
      <c r="L31" s="3">
        <f t="shared" si="11"/>
        <v>-974.95775094756129</v>
      </c>
      <c r="M31" s="3">
        <f t="shared" si="1"/>
        <v>2.4999200281057217</v>
      </c>
      <c r="N31" s="3">
        <f t="shared" si="2"/>
        <v>1.063698957641477</v>
      </c>
    </row>
    <row r="32" spans="1:14" x14ac:dyDescent="0.2">
      <c r="A32">
        <v>17</v>
      </c>
      <c r="B32">
        <v>64</v>
      </c>
      <c r="C32" s="7">
        <f t="shared" si="3"/>
        <v>1.063698957641477</v>
      </c>
      <c r="D32" s="7">
        <f t="shared" si="4"/>
        <v>2.4999200281057217</v>
      </c>
      <c r="E32" s="7">
        <f t="shared" si="5"/>
        <v>43.562339435438744</v>
      </c>
      <c r="F32" s="1">
        <f t="shared" si="6"/>
        <v>417.69796935222229</v>
      </c>
      <c r="G32" s="3">
        <f t="shared" si="7"/>
        <v>417.28931614093113</v>
      </c>
      <c r="H32" s="3">
        <f t="shared" si="8"/>
        <v>-40.865321129115273</v>
      </c>
      <c r="I32" s="7">
        <f t="shared" si="9"/>
        <v>410.77806476027143</v>
      </c>
      <c r="J32" s="3">
        <f t="shared" si="10"/>
        <v>-691.99045919508535</v>
      </c>
      <c r="K32" s="3">
        <f t="shared" si="0"/>
        <v>-40.875321129122511</v>
      </c>
      <c r="L32" s="3">
        <f t="shared" si="11"/>
        <v>-694.88045919508272</v>
      </c>
      <c r="M32" s="3">
        <f t="shared" si="1"/>
        <v>2.5691190740252301</v>
      </c>
      <c r="N32" s="3">
        <f t="shared" si="2"/>
        <v>1.0677854897543886</v>
      </c>
    </row>
    <row r="33" spans="1:14" x14ac:dyDescent="0.2">
      <c r="A33">
        <v>8</v>
      </c>
      <c r="B33">
        <v>46</v>
      </c>
      <c r="C33" s="7">
        <f t="shared" si="3"/>
        <v>1.0677854897543886</v>
      </c>
      <c r="D33" s="7">
        <f t="shared" si="4"/>
        <v>2.5691190740252301</v>
      </c>
      <c r="E33" s="7">
        <f t="shared" si="5"/>
        <v>21.62073808195623</v>
      </c>
      <c r="F33" s="1">
        <f t="shared" si="6"/>
        <v>594.34841166857927</v>
      </c>
      <c r="G33" s="3">
        <f t="shared" si="7"/>
        <v>593.86092643021823</v>
      </c>
      <c r="H33" s="3">
        <f t="shared" si="8"/>
        <v>-48.748523836104596</v>
      </c>
      <c r="I33" s="7">
        <f t="shared" si="9"/>
        <v>590.45412976169234</v>
      </c>
      <c r="J33" s="3">
        <f t="shared" si="10"/>
        <v>-389.42819068869312</v>
      </c>
      <c r="K33" s="3">
        <f t="shared" si="0"/>
        <v>-48.758523836087541</v>
      </c>
      <c r="L33" s="3">
        <f t="shared" si="11"/>
        <v>-390.06819068870033</v>
      </c>
      <c r="M33" s="3">
        <f t="shared" si="1"/>
        <v>2.6080618930940993</v>
      </c>
      <c r="N33" s="3">
        <f t="shared" si="2"/>
        <v>1.072660342137999</v>
      </c>
    </row>
    <row r="34" spans="1:14" x14ac:dyDescent="0.2">
      <c r="E34" t="s">
        <v>2</v>
      </c>
      <c r="F34" s="1">
        <f>SQRT(SUM(F5:F33))</f>
        <v>150.70215194390218</v>
      </c>
      <c r="K34" s="3">
        <f>SQRT(SUMSQ(K5:K33))</f>
        <v>301.40430388780436</v>
      </c>
      <c r="L34" s="3">
        <f>SQRT(SUMSQ(L5:L33))</f>
        <v>20737.327509571263</v>
      </c>
    </row>
    <row r="37" spans="1:14" x14ac:dyDescent="0.2">
      <c r="C37" t="s">
        <v>20</v>
      </c>
    </row>
    <row r="38" spans="1:14" x14ac:dyDescent="0.2">
      <c r="C38" t="s">
        <v>2</v>
      </c>
    </row>
  </sheetData>
  <conditionalFormatting sqref="F5:F33">
    <cfRule type="dataBar" priority="4">
      <dataBar>
        <cfvo type="min"/>
        <cfvo type="max"/>
        <color rgb="FF638EC6"/>
      </dataBar>
      <extLst>
        <ext xmlns:x14="http://schemas.microsoft.com/office/spreadsheetml/2009/9/main" uri="{B025F937-C7B1-47D3-B67F-A62EFF666E3E}">
          <x14:id>{07B12EA2-6CE9-AA4C-984F-0A0341C116D1}</x14:id>
        </ext>
      </extLst>
    </cfRule>
  </conditionalFormatting>
  <conditionalFormatting sqref="J5:J33">
    <cfRule type="colorScale" priority="1">
      <colorScale>
        <cfvo type="min"/>
        <cfvo type="percentile" val="50"/>
        <cfvo type="max"/>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asic2.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8610" r:id="rId5" name="Button 2">
              <controlPr defaultSize="0" print="0" autoFill="0" autoPict="0" macro="[0]!basic2.reset">
                <anchor moveWithCells="1">
                  <from>
                    <xdr:col>0</xdr:col>
                    <xdr:colOff>0</xdr:colOff>
                    <xdr:row>0</xdr:row>
                    <xdr:rowOff>25400</xdr:rowOff>
                  </from>
                  <to>
                    <xdr:col>0</xdr:col>
                    <xdr:colOff>508000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7B12EA2-6CE9-AA4C-984F-0A0341C116D1}">
            <x14:dataBar minLength="0" maxLength="100" border="1" negativeBarBorderColorSameAsPositive="0">
              <x14:cfvo type="autoMin"/>
              <x14:cfvo type="autoMax"/>
              <x14:borderColor rgb="FF638EC6"/>
              <x14:negativeFillColor rgb="FFFF0000"/>
              <x14:negativeBorderColor rgb="FFFF0000"/>
              <x14:axisColor rgb="FF000000"/>
            </x14:dataBar>
          </x14:cfRule>
          <xm:sqref>F5:F33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41321-6A56-7E42-96FC-C780566D2AC9}">
  <sheetPr codeName="basic1"/>
  <dimension ref="A1:Y40"/>
  <sheetViews>
    <sheetView zoomScale="80" zoomScaleNormal="80" workbookViewId="0">
      <pane ySplit="6" topLeftCell="A7" activePane="bottomLeft" state="frozen"/>
      <selection pane="bottomLeft" activeCell="D1" sqref="D1"/>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5" bestFit="1" customWidth="1"/>
    <col min="7" max="7" width="16.6640625" customWidth="1"/>
    <col min="8" max="8" width="20.5" customWidth="1"/>
    <col min="9" max="9" width="14" hidden="1" customWidth="1"/>
    <col min="10" max="10" width="14" customWidth="1"/>
    <col min="11" max="11" width="21.6640625" customWidth="1"/>
    <col min="12" max="12" width="22.33203125" customWidth="1"/>
    <col min="13" max="13" width="22" hidden="1" customWidth="1"/>
    <col min="14" max="14" width="20" customWidth="1"/>
    <col min="15" max="15" width="22.83203125" hidden="1" customWidth="1"/>
    <col min="16" max="16" width="17.1640625" customWidth="1"/>
    <col min="17" max="17" width="8.6640625" customWidth="1"/>
    <col min="18" max="18" width="7.5" customWidth="1"/>
    <col min="19" max="19" width="9" customWidth="1"/>
    <col min="20" max="20" width="8.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105</v>
      </c>
      <c r="C1">
        <v>1</v>
      </c>
      <c r="D1">
        <v>1</v>
      </c>
      <c r="G1" t="s">
        <v>14</v>
      </c>
      <c r="H1">
        <v>1E-4</v>
      </c>
      <c r="J1" t="s">
        <v>103</v>
      </c>
      <c r="K1" s="27" t="s">
        <v>83</v>
      </c>
      <c r="L1" t="s">
        <v>106</v>
      </c>
      <c r="Y1" t="s">
        <v>4</v>
      </c>
    </row>
    <row r="2" spans="1:25" ht="17.5" customHeight="1" x14ac:dyDescent="0.2">
      <c r="B2" t="s">
        <v>104</v>
      </c>
      <c r="C2">
        <v>1</v>
      </c>
      <c r="D2">
        <v>1</v>
      </c>
      <c r="J2" t="s">
        <v>102</v>
      </c>
      <c r="K2" t="s">
        <v>108</v>
      </c>
      <c r="L2" t="s">
        <v>107</v>
      </c>
      <c r="X2" t="s">
        <v>5</v>
      </c>
    </row>
    <row r="3" spans="1:25" ht="17.5" customHeight="1" x14ac:dyDescent="0.2"/>
    <row r="4" spans="1:25" ht="17.5" customHeight="1" x14ac:dyDescent="0.2"/>
    <row r="5" spans="1:25" ht="17.5" customHeight="1" x14ac:dyDescent="0.2">
      <c r="B5" t="s">
        <v>108</v>
      </c>
      <c r="G5" s="27" t="s">
        <v>83</v>
      </c>
      <c r="H5" t="s">
        <v>87</v>
      </c>
      <c r="I5" t="s">
        <v>88</v>
      </c>
      <c r="K5" t="s">
        <v>89</v>
      </c>
      <c r="M5" t="s">
        <v>90</v>
      </c>
      <c r="O5" t="s">
        <v>91</v>
      </c>
      <c r="U5" t="s">
        <v>111</v>
      </c>
      <c r="V5" t="s">
        <v>112</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X6" s="2" t="s">
        <v>6</v>
      </c>
      <c r="Y6" s="2" t="s">
        <v>9</v>
      </c>
    </row>
    <row r="7" spans="1:25" x14ac:dyDescent="0.2">
      <c r="A7">
        <v>14</v>
      </c>
      <c r="B7">
        <v>58</v>
      </c>
      <c r="C7">
        <f>C1</f>
        <v>1</v>
      </c>
      <c r="D7">
        <f>C2</f>
        <v>1</v>
      </c>
      <c r="E7">
        <f>const2</f>
        <v>1</v>
      </c>
      <c r="F7">
        <f>slope2</f>
        <v>1</v>
      </c>
      <c r="G7">
        <f>(D7*A7+C7)*F7+E7</f>
        <v>16</v>
      </c>
      <c r="H7" s="1">
        <f>(B7-G7)^2</f>
        <v>1764</v>
      </c>
      <c r="I7" s="3">
        <f>((D7*A7+(C7+0.01))*F7+E7-B7)^2</f>
        <v>1763.1601000000001</v>
      </c>
      <c r="J7" s="3">
        <f>(I7-H7)/0.01</f>
        <v>-83.989999999994325</v>
      </c>
      <c r="K7" s="3">
        <f>(((D7+0.01)*A7+C7)*F7+E7-B7)^2</f>
        <v>1752.2595999999999</v>
      </c>
      <c r="L7" s="3">
        <f>(K7-H7)/0.01</f>
        <v>-1174.0400000000136</v>
      </c>
      <c r="M7">
        <f>((D7*A7+C7)*F7+(E7+0.01)-B7)^2</f>
        <v>1763.1600999999996</v>
      </c>
      <c r="N7">
        <f>(M7-H7)/0.01</f>
        <v>-83.990000000039799</v>
      </c>
      <c r="O7">
        <f>((D7*A7+C7)*(F7+0.01)+E7-B7)^2</f>
        <v>1751.4225000000001</v>
      </c>
      <c r="P7">
        <f>(O7-H7)/0.01</f>
        <v>-1257.7499999999873</v>
      </c>
      <c r="Q7" s="3">
        <f>D7-L7*$H$1</f>
        <v>1.1174040000000014</v>
      </c>
      <c r="R7" s="3">
        <f>C7-J7*$H$1</f>
        <v>1.0083989999999994</v>
      </c>
      <c r="S7" s="7">
        <f>F7-P7*$H$1</f>
        <v>1.1257749999999986</v>
      </c>
      <c r="T7" s="7">
        <f>E7-N7*$H$1</f>
        <v>1.008399000000004</v>
      </c>
      <c r="U7" s="7">
        <f>Q7*S7</f>
        <v>1.2579454881000001</v>
      </c>
      <c r="V7" s="7">
        <f>S7*R7+T7</f>
        <v>2.1436293842250018</v>
      </c>
      <c r="X7" s="3">
        <f t="shared" ref="X7:X35" si="0">2*(G7-B7)</f>
        <v>-84</v>
      </c>
      <c r="Y7" s="3">
        <f t="shared" ref="Y7:Y35" si="1">X7*A7</f>
        <v>-1176</v>
      </c>
    </row>
    <row r="8" spans="1:25" x14ac:dyDescent="0.2">
      <c r="A8">
        <v>86</v>
      </c>
      <c r="B8">
        <v>202</v>
      </c>
      <c r="C8" s="3">
        <f>R7</f>
        <v>1.0083989999999994</v>
      </c>
      <c r="D8">
        <f>Q7</f>
        <v>1.1174040000000014</v>
      </c>
      <c r="E8">
        <f>T7</f>
        <v>1.008399000000004</v>
      </c>
      <c r="F8">
        <f>S7</f>
        <v>1.1257749999999986</v>
      </c>
      <c r="G8">
        <f>(D8*A8+C8)*F8+E8</f>
        <v>110.32694136082499</v>
      </c>
      <c r="H8" s="1">
        <f>(B8-G8)^2</f>
        <v>8403.9496802616195</v>
      </c>
      <c r="I8" s="3">
        <f>((D8*A8+(C8+0.01))*F8+E8-B8)^2</f>
        <v>8401.8857422467627</v>
      </c>
      <c r="J8" s="3">
        <f>(I8-H8)/0.01</f>
        <v>-206.39380148568307</v>
      </c>
      <c r="K8" s="3">
        <f>(((D8+0.01)*A8+C8)*F8+E8-B8)^2</f>
        <v>8227.3774579793735</v>
      </c>
      <c r="L8" s="3">
        <f>(K8-H8)/0.01</f>
        <v>-17657.2222282246</v>
      </c>
      <c r="M8">
        <f>((D8*A8+C8)*F8+(E8+0.01)-B8)^2</f>
        <v>8402.1163190888365</v>
      </c>
      <c r="N8">
        <f>(M8-H8)/0.01</f>
        <v>-183.3361172783043</v>
      </c>
      <c r="O8">
        <f>((D8*A8+C8)*(F8+0.01)+E8-B8)^2</f>
        <v>8226.8541117732348</v>
      </c>
      <c r="P8">
        <f>(O8-H8)/0.01</f>
        <v>-17709.556848838474</v>
      </c>
      <c r="Q8" s="3">
        <f>D8-L8*$H$1</f>
        <v>2.8831262228224617</v>
      </c>
      <c r="R8" s="3">
        <f>C8-J8*$H$1</f>
        <v>1.0290383801485676</v>
      </c>
      <c r="S8" s="7">
        <f>F8-P8*$H$1</f>
        <v>2.8967306848838463</v>
      </c>
      <c r="T8" s="7">
        <f>E8-N8*$H$1</f>
        <v>1.0267326117278344</v>
      </c>
      <c r="U8" s="7">
        <f t="shared" ref="U8:U35" si="2">Q8*S8</f>
        <v>8.3516401980430857</v>
      </c>
      <c r="V8" s="7">
        <f t="shared" ref="V8:V35" si="3">S8*R8+T8</f>
        <v>4.0075796634273582</v>
      </c>
      <c r="X8" s="3">
        <f t="shared" si="0"/>
        <v>-183.34611727835002</v>
      </c>
      <c r="Y8" s="3">
        <f t="shared" si="1"/>
        <v>-15767.766085938101</v>
      </c>
    </row>
    <row r="9" spans="1:25" x14ac:dyDescent="0.2">
      <c r="A9">
        <v>28</v>
      </c>
      <c r="B9">
        <v>86</v>
      </c>
      <c r="C9" s="3">
        <f t="shared" ref="C9:C10" si="4">R8</f>
        <v>1.0290383801485676</v>
      </c>
      <c r="D9">
        <f t="shared" ref="D9:D10" si="5">Q8</f>
        <v>2.8831262228224617</v>
      </c>
      <c r="E9">
        <f t="shared" ref="E9:E10" si="6">T8</f>
        <v>1.0267326117278344</v>
      </c>
      <c r="F9">
        <f t="shared" ref="F9:F10" si="7">S8</f>
        <v>2.8967306848838463</v>
      </c>
      <c r="G9">
        <f t="shared" ref="G9:G10" si="8">(D9*A9+C9)*F9+E9</f>
        <v>237.85350520863375</v>
      </c>
      <c r="H9" s="1">
        <f t="shared" ref="H9:H10" si="9">(B9-G9)^2</f>
        <v>23059.487044148558</v>
      </c>
      <c r="I9" s="3">
        <f t="shared" ref="I9:I10" si="10">((D9*A9+(C9+0.01))*F9+E9-B9)^2</f>
        <v>23068.285457416332</v>
      </c>
      <c r="J9" s="3">
        <f t="shared" ref="J9:J10" si="11">(I9-H9)/0.01</f>
        <v>879.84132677738671</v>
      </c>
      <c r="K9" s="3">
        <f t="shared" ref="K9:K10" si="12">(((D9+0.01)*A9+C9)*F9+E9-B9)^2</f>
        <v>23306.476978924777</v>
      </c>
      <c r="L9" s="3">
        <f t="shared" ref="L9:L10" si="13">(K9-H9)/0.01</f>
        <v>24698.993477621843</v>
      </c>
      <c r="M9">
        <f t="shared" ref="M9:M10" si="14">((D9*A9+C9)*F9+(E9+0.01)-B9)^2</f>
        <v>23062.524214252735</v>
      </c>
      <c r="N9">
        <f t="shared" ref="N9:N10" si="15">(M9-H9)/0.01</f>
        <v>303.71701041767665</v>
      </c>
      <c r="O9">
        <f t="shared" ref="O9:O10" si="16">((D9*A9+C9)*(F9+0.01)+E9-B9)^2</f>
        <v>23308.455900386522</v>
      </c>
      <c r="P9">
        <f t="shared" ref="P9:P10" si="17">(O9-H9)/0.01</f>
        <v>24896.885623796334</v>
      </c>
      <c r="Q9" s="3">
        <f t="shared" ref="Q9:Q10" si="18">D9-L9*$H$1</f>
        <v>0.413226875060277</v>
      </c>
      <c r="R9" s="3">
        <f t="shared" ref="R9:R10" si="19">C9-J9*$H$1</f>
        <v>0.941054247470829</v>
      </c>
      <c r="S9" s="7">
        <f t="shared" ref="S9:S10" si="20">F9-P9*$H$1</f>
        <v>0.40704212250421268</v>
      </c>
      <c r="T9" s="7">
        <f t="shared" ref="T9:T10" si="21">E9-N9*$H$1</f>
        <v>0.99636091068606669</v>
      </c>
      <c r="U9" s="7">
        <f t="shared" si="2"/>
        <v>0.16820074430031826</v>
      </c>
      <c r="V9" s="7">
        <f t="shared" si="3"/>
        <v>1.3794096289681974</v>
      </c>
      <c r="X9" s="3">
        <f t="shared" si="0"/>
        <v>303.7070104172675</v>
      </c>
      <c r="Y9" s="3">
        <f t="shared" si="1"/>
        <v>8503.7962916834895</v>
      </c>
    </row>
    <row r="10" spans="1:25" x14ac:dyDescent="0.2">
      <c r="A10">
        <v>51</v>
      </c>
      <c r="B10">
        <v>132</v>
      </c>
      <c r="C10" s="3">
        <f t="shared" si="4"/>
        <v>0.941054247470829</v>
      </c>
      <c r="D10">
        <f t="shared" si="5"/>
        <v>0.413226875060277</v>
      </c>
      <c r="E10">
        <f t="shared" si="6"/>
        <v>0.99636091068606669</v>
      </c>
      <c r="F10">
        <f t="shared" si="7"/>
        <v>0.40704212250421268</v>
      </c>
      <c r="G10">
        <f t="shared" si="8"/>
        <v>9.9576475882844289</v>
      </c>
      <c r="H10" s="1">
        <f t="shared" si="9"/>
        <v>14894.335782185377</v>
      </c>
      <c r="I10" s="3">
        <f t="shared" si="10"/>
        <v>14893.342271190486</v>
      </c>
      <c r="J10" s="3">
        <f t="shared" si="11"/>
        <v>-99.351099489103945</v>
      </c>
      <c r="K10" s="3">
        <f t="shared" si="12"/>
        <v>14843.708970684682</v>
      </c>
      <c r="L10" s="3">
        <f t="shared" si="13"/>
        <v>-5062.6811500695112</v>
      </c>
      <c r="M10">
        <f t="shared" si="14"/>
        <v>14891.895035137144</v>
      </c>
      <c r="N10">
        <f t="shared" si="15"/>
        <v>-244.0747048232879</v>
      </c>
      <c r="O10">
        <f t="shared" si="16"/>
        <v>14840.647477966737</v>
      </c>
      <c r="P10">
        <f t="shared" si="17"/>
        <v>-5368.8304218640042</v>
      </c>
      <c r="Q10" s="3">
        <f t="shared" si="18"/>
        <v>0.91949499006722812</v>
      </c>
      <c r="R10" s="3">
        <f t="shared" si="19"/>
        <v>0.95098935741973945</v>
      </c>
      <c r="S10" s="7">
        <f t="shared" si="20"/>
        <v>0.94392516469061316</v>
      </c>
      <c r="T10" s="7">
        <f t="shared" si="21"/>
        <v>1.0207683811683954</v>
      </c>
      <c r="U10" s="7">
        <f t="shared" si="2"/>
        <v>0.86793445993140206</v>
      </c>
      <c r="V10" s="7">
        <f t="shared" si="3"/>
        <v>1.9184311669898433</v>
      </c>
      <c r="X10" s="3">
        <f t="shared" si="0"/>
        <v>-244.08470482343114</v>
      </c>
      <c r="Y10" s="3">
        <f t="shared" si="1"/>
        <v>-12448.319945994988</v>
      </c>
    </row>
    <row r="11" spans="1:25" x14ac:dyDescent="0.2">
      <c r="A11">
        <v>28</v>
      </c>
      <c r="B11">
        <v>86</v>
      </c>
      <c r="C11" s="3">
        <f t="shared" ref="C11:C13" si="22">R10</f>
        <v>0.95098935741973945</v>
      </c>
      <c r="D11">
        <f>Q10</f>
        <v>0.91949499006722812</v>
      </c>
      <c r="E11">
        <f>T10</f>
        <v>1.0207683811683954</v>
      </c>
      <c r="F11">
        <f>S10</f>
        <v>0.94392516469061316</v>
      </c>
      <c r="G11">
        <f>(D11*A11+C11)*F11+E11</f>
        <v>26.220596045069097</v>
      </c>
      <c r="H11" s="1">
        <f>(B11-G11)^2</f>
        <v>3573.5771372068079</v>
      </c>
      <c r="I11" s="3">
        <f>((D11*A11+(C11+0.01))*F11+E11-B11)^2</f>
        <v>3572.4486806318146</v>
      </c>
      <c r="J11" s="3">
        <f>(I11-H11)/0.01</f>
        <v>-112.8456574993379</v>
      </c>
      <c r="K11" s="3">
        <f>(((D11+0.01)*A11+C11)*F11+E11-B11)^2</f>
        <v>3542.0477123075561</v>
      </c>
      <c r="L11" s="3">
        <f>(K11-H11)/0.01</f>
        <v>-3152.9424899251808</v>
      </c>
      <c r="M11">
        <f>((D11*A11+C11)*F11+(E11+0.01)-B11)^2</f>
        <v>3572.3816491277098</v>
      </c>
      <c r="N11">
        <f>(M11-H11)/0.01</f>
        <v>-119.54880790981406</v>
      </c>
      <c r="O11">
        <f>((D11*A11+C11)*(F11+0.01)+E11-B11)^2</f>
        <v>3541.7299748731762</v>
      </c>
      <c r="P11">
        <f>(O11-H11)/0.01</f>
        <v>-3184.7162333631786</v>
      </c>
      <c r="Q11" s="3">
        <f>D11-L11*$H$1</f>
        <v>1.2347892390597461</v>
      </c>
      <c r="R11" s="3">
        <f>C11-J11*$H$1</f>
        <v>0.9622739231696732</v>
      </c>
      <c r="S11" s="7">
        <f>F11-P11*$H$1</f>
        <v>1.2623967880269311</v>
      </c>
      <c r="T11" s="7">
        <f>E11-N11*$H$1</f>
        <v>1.0327232619593769</v>
      </c>
      <c r="U11" s="7">
        <f t="shared" si="2"/>
        <v>1.5587939692792419</v>
      </c>
      <c r="V11" s="7">
        <f t="shared" si="3"/>
        <v>2.247494771770846</v>
      </c>
      <c r="X11" s="3">
        <f t="shared" si="0"/>
        <v>-119.5588079098618</v>
      </c>
      <c r="Y11" s="3">
        <f t="shared" si="1"/>
        <v>-3347.6466214761303</v>
      </c>
    </row>
    <row r="12" spans="1:25" x14ac:dyDescent="0.2">
      <c r="A12">
        <v>29</v>
      </c>
      <c r="B12">
        <v>88</v>
      </c>
      <c r="C12" s="3">
        <f t="shared" si="22"/>
        <v>0.9622739231696732</v>
      </c>
      <c r="D12">
        <f t="shared" ref="D12" si="23">Q11</f>
        <v>1.2347892390597461</v>
      </c>
      <c r="E12">
        <f t="shared" ref="E12" si="24">T11</f>
        <v>1.0327232619593769</v>
      </c>
      <c r="F12">
        <f t="shared" ref="F12" si="25">S11</f>
        <v>1.2623967880269311</v>
      </c>
      <c r="G12">
        <f t="shared" ref="G12" si="26">(D12*A12+C12)*F12+E12</f>
        <v>47.452519880868863</v>
      </c>
      <c r="H12" s="1">
        <f t="shared" ref="H12" si="27">(B12-G12)^2</f>
        <v>1644.0981440113349</v>
      </c>
      <c r="I12" s="3">
        <f t="shared" ref="I12" si="28">((D12*A12+(C12+0.01))*F12+E12-B12)^2</f>
        <v>1643.0745632026005</v>
      </c>
      <c r="J12" s="3">
        <f t="shared" ref="J12" si="29">(I12-H12)/0.01</f>
        <v>-102.3580808734323</v>
      </c>
      <c r="K12" s="3">
        <f t="shared" ref="K12" si="30">(((D12+0.01)*A12+C12)*F12+E12-B12)^2</f>
        <v>1614.5437045848485</v>
      </c>
      <c r="L12" s="3">
        <f t="shared" ref="L12" si="31">(K12-H12)/0.01</f>
        <v>-2955.4439426486397</v>
      </c>
      <c r="M12">
        <f t="shared" ref="M12" si="32">((D12*A12+C12)*F12+(E12+0.01)-B12)^2</f>
        <v>1643.2872944089524</v>
      </c>
      <c r="N12">
        <f t="shared" ref="N12" si="33">(M12-H12)/0.01</f>
        <v>-81.084960238240456</v>
      </c>
      <c r="O12">
        <f t="shared" ref="O12" si="34">((D12*A12+C12)*(F12+0.01)+E12-B12)^2</f>
        <v>1614.4137967595666</v>
      </c>
      <c r="P12">
        <f t="shared" ref="P12" si="35">(O12-H12)/0.01</f>
        <v>-2968.4347251768259</v>
      </c>
      <c r="Q12" s="3">
        <f t="shared" ref="Q12" si="36">D12-L12*$H$1</f>
        <v>1.5303336333246103</v>
      </c>
      <c r="R12" s="3">
        <f t="shared" ref="R12" si="37">C12-J12*$H$1</f>
        <v>0.97250973125701645</v>
      </c>
      <c r="S12" s="7">
        <f t="shared" ref="S12" si="38">F12-P12*$H$1</f>
        <v>1.5592402605446138</v>
      </c>
      <c r="T12" s="7">
        <f t="shared" ref="T12" si="39">E12-N12*$H$1</f>
        <v>1.0408317579832009</v>
      </c>
      <c r="U12" s="7">
        <f t="shared" si="2"/>
        <v>2.386157813145251</v>
      </c>
      <c r="V12" s="7">
        <f t="shared" si="3"/>
        <v>2.5572080847305636</v>
      </c>
      <c r="X12" s="3">
        <f t="shared" si="0"/>
        <v>-81.094960238262274</v>
      </c>
      <c r="Y12" s="3">
        <f t="shared" si="1"/>
        <v>-2351.7538469096062</v>
      </c>
    </row>
    <row r="13" spans="1:25" x14ac:dyDescent="0.2">
      <c r="A13">
        <v>72</v>
      </c>
      <c r="B13">
        <v>174</v>
      </c>
      <c r="C13" s="3">
        <f t="shared" si="22"/>
        <v>0.97250973125701645</v>
      </c>
      <c r="D13">
        <f t="shared" ref="D13" si="40">Q12</f>
        <v>1.5303336333246103</v>
      </c>
      <c r="E13">
        <f t="shared" ref="E13" si="41">T12</f>
        <v>1.0408317579832009</v>
      </c>
      <c r="F13">
        <f t="shared" ref="F13" si="42">S12</f>
        <v>1.5592402605446138</v>
      </c>
      <c r="G13">
        <f t="shared" ref="G13" si="43">(D13*A13+C13)*F13+E13</f>
        <v>174.36057063118861</v>
      </c>
      <c r="H13" s="1">
        <f t="shared" ref="H13" si="44">(B13-G13)^2</f>
        <v>0.13001118007575124</v>
      </c>
      <c r="I13" s="3">
        <f t="shared" ref="I13" si="45">((D13*A13+(C13+0.01))*F13+E13-B13)^2</f>
        <v>0.14149862799314913</v>
      </c>
      <c r="J13" s="3">
        <f t="shared" ref="J13" si="46">(I13-H13)/0.01</f>
        <v>1.1487447917397891</v>
      </c>
      <c r="K13" s="3">
        <f t="shared" ref="K13" si="47">(((D13+0.01)*A13+C13)*F13+E13-B13)^2</f>
        <v>2.1999523033090793</v>
      </c>
      <c r="L13" s="3">
        <f t="shared" ref="L13" si="48">(K13-H13)/0.01</f>
        <v>206.99411232333279</v>
      </c>
      <c r="M13">
        <f t="shared" ref="M13" si="49">((D13*A13+C13)*F13+(E13+0.01)-B13)^2</f>
        <v>0.13732259269951666</v>
      </c>
      <c r="N13">
        <f t="shared" ref="N13" si="50">(M13-H13)/0.01</f>
        <v>0.73114126237654176</v>
      </c>
      <c r="O13">
        <f t="shared" ref="O13" si="51">((D13*A13+C13)*(F13+0.01)+E13-B13)^2</f>
        <v>2.1671842390739169</v>
      </c>
      <c r="P13">
        <f t="shared" ref="P13" si="52">(O13-H13)/0.01</f>
        <v>203.71730589981655</v>
      </c>
      <c r="Q13" s="3">
        <f t="shared" ref="Q13" si="53">D13-L13*$H$1</f>
        <v>1.5096342220922769</v>
      </c>
      <c r="R13" s="3">
        <f t="shared" ref="R13" si="54">C13-J13*$H$1</f>
        <v>0.97239485677784243</v>
      </c>
      <c r="S13" s="7">
        <f t="shared" ref="S13" si="55">F13-P13*$H$1</f>
        <v>1.5388685299546321</v>
      </c>
      <c r="T13" s="7">
        <f t="shared" ref="T13" si="56">E13-N13*$H$1</f>
        <v>1.0407586438569634</v>
      </c>
      <c r="U13" s="7">
        <f t="shared" si="2"/>
        <v>2.3231285961203469</v>
      </c>
      <c r="V13" s="7">
        <f t="shared" si="3"/>
        <v>2.5371464876421266</v>
      </c>
      <c r="X13" s="3">
        <f t="shared" si="0"/>
        <v>0.72114126237721621</v>
      </c>
      <c r="Y13" s="3">
        <f t="shared" si="1"/>
        <v>51.922170891159567</v>
      </c>
    </row>
    <row r="14" spans="1:25" x14ac:dyDescent="0.2">
      <c r="A14">
        <v>62</v>
      </c>
      <c r="B14">
        <v>154</v>
      </c>
      <c r="C14" s="3">
        <f t="shared" ref="C14:C20" si="57">R13</f>
        <v>0.97239485677784243</v>
      </c>
      <c r="D14">
        <f t="shared" ref="D14:D20" si="58">Q13</f>
        <v>1.5096342220922769</v>
      </c>
      <c r="E14">
        <f t="shared" ref="E14:E20" si="59">T13</f>
        <v>1.0407586438569634</v>
      </c>
      <c r="F14">
        <f t="shared" ref="F14:F20" si="60">S13</f>
        <v>1.5388685299546321</v>
      </c>
      <c r="G14">
        <f t="shared" ref="G14:G20" si="61">(D14*A14+C14)*F14+E14</f>
        <v>146.57111944710365</v>
      </c>
      <c r="H14" s="1">
        <f t="shared" ref="H14:H20" si="62">(B14-G14)^2</f>
        <v>55.188266269201506</v>
      </c>
      <c r="I14" s="3">
        <f t="shared" ref="I14:I20" si="63">((D14*A14+(C14+0.01))*F14+E14-B14)^2</f>
        <v>54.959861670923942</v>
      </c>
      <c r="J14" s="3">
        <f t="shared" ref="J14:J20" si="64">(I14-H14)/0.01</f>
        <v>-22.840459827756376</v>
      </c>
      <c r="K14" s="3">
        <f t="shared" ref="K14:K20" si="65">(((D14+0.01)*A14+C14)*F14+E14-B14)^2</f>
        <v>41.922802780498245</v>
      </c>
      <c r="L14" s="3">
        <f t="shared" ref="L14:L20" si="66">(K14-H14)/0.01</f>
        <v>-1326.546348870326</v>
      </c>
      <c r="M14">
        <f t="shared" ref="M14:M20" si="67">((D14*A14+C14)*F14+(E14+0.01)-B14)^2</f>
        <v>55.039788658143713</v>
      </c>
      <c r="N14">
        <f t="shared" ref="N14:N20" si="68">(M14-H14)/0.01</f>
        <v>-14.847761105779256</v>
      </c>
      <c r="O14">
        <f t="shared" ref="O14:O20" si="69">((D14*A14+C14)*(F14+0.01)+E14-B14)^2</f>
        <v>42.031666824692962</v>
      </c>
      <c r="P14">
        <f t="shared" ref="P14:P20" si="70">(O14-H14)/0.01</f>
        <v>-1315.6599444508543</v>
      </c>
      <c r="Q14" s="3">
        <f t="shared" ref="Q14:Q20" si="71">D14-L14*$H$1</f>
        <v>1.6422888569793095</v>
      </c>
      <c r="R14" s="3">
        <f t="shared" ref="R14:R20" si="72">C14-J14*$H$1</f>
        <v>0.97467890276061808</v>
      </c>
      <c r="S14" s="7">
        <f t="shared" ref="S14:S20" si="73">F14-P14*$H$1</f>
        <v>1.6704345243997176</v>
      </c>
      <c r="T14" s="7">
        <f t="shared" ref="T14:T20" si="74">E14-N14*$H$1</f>
        <v>1.0422434199675412</v>
      </c>
      <c r="U14" s="7">
        <f t="shared" si="2"/>
        <v>2.7433360057351885</v>
      </c>
      <c r="V14" s="7">
        <f t="shared" si="3"/>
        <v>2.6703807093429131</v>
      </c>
      <c r="X14" s="3">
        <f t="shared" si="0"/>
        <v>-14.85776110579269</v>
      </c>
      <c r="Y14" s="3">
        <f t="shared" si="1"/>
        <v>-921.18118855914679</v>
      </c>
    </row>
    <row r="15" spans="1:25" x14ac:dyDescent="0.2">
      <c r="A15">
        <v>84</v>
      </c>
      <c r="B15">
        <v>198</v>
      </c>
      <c r="C15" s="3">
        <f>R14</f>
        <v>0.97467890276061808</v>
      </c>
      <c r="D15">
        <f>Q14</f>
        <v>1.6422888569793095</v>
      </c>
      <c r="E15">
        <f>T14</f>
        <v>1.0422434199675412</v>
      </c>
      <c r="F15">
        <f>S14</f>
        <v>1.6704345243997176</v>
      </c>
      <c r="G15">
        <f t="shared" si="61"/>
        <v>233.11060519109876</v>
      </c>
      <c r="H15" s="1">
        <f t="shared" si="62"/>
        <v>1232.754596885211</v>
      </c>
      <c r="I15" s="3">
        <f t="shared" si="63"/>
        <v>1233.9278752620344</v>
      </c>
      <c r="J15" s="3">
        <f t="shared" si="64"/>
        <v>117.32783768234185</v>
      </c>
      <c r="K15" s="3">
        <f t="shared" si="65"/>
        <v>1333.2554136045762</v>
      </c>
      <c r="L15" s="3">
        <f t="shared" si="66"/>
        <v>10050.081671936527</v>
      </c>
      <c r="M15">
        <f t="shared" si="67"/>
        <v>1233.4569089890322</v>
      </c>
      <c r="N15">
        <f t="shared" si="68"/>
        <v>70.23121038212139</v>
      </c>
      <c r="O15">
        <f t="shared" si="69"/>
        <v>1332.2408472749141</v>
      </c>
      <c r="P15">
        <f t="shared" si="70"/>
        <v>9948.6250389703164</v>
      </c>
      <c r="Q15" s="3">
        <f t="shared" si="71"/>
        <v>0.63728068978565688</v>
      </c>
      <c r="R15" s="3">
        <f t="shared" si="72"/>
        <v>0.96294611899238391</v>
      </c>
      <c r="S15" s="7">
        <f t="shared" si="73"/>
        <v>0.67557202050268594</v>
      </c>
      <c r="T15" s="7">
        <f t="shared" si="74"/>
        <v>1.0352202989293291</v>
      </c>
      <c r="U15" s="7">
        <f t="shared" si="2"/>
        <v>0.43052900322584164</v>
      </c>
      <c r="V15" s="7">
        <f t="shared" si="3"/>
        <v>1.6857597541722338</v>
      </c>
      <c r="X15" s="3">
        <f t="shared" si="0"/>
        <v>70.221210382197512</v>
      </c>
      <c r="Y15" s="3">
        <f t="shared" si="1"/>
        <v>5898.5816721045912</v>
      </c>
    </row>
    <row r="16" spans="1:25" x14ac:dyDescent="0.2">
      <c r="A16">
        <v>15</v>
      </c>
      <c r="B16">
        <v>60</v>
      </c>
      <c r="C16" s="3">
        <f t="shared" si="57"/>
        <v>0.96294611899238391</v>
      </c>
      <c r="D16">
        <f t="shared" si="58"/>
        <v>0.63728068978565688</v>
      </c>
      <c r="E16">
        <f t="shared" si="59"/>
        <v>1.0352202989293291</v>
      </c>
      <c r="F16">
        <f t="shared" si="60"/>
        <v>0.67557202050268594</v>
      </c>
      <c r="G16">
        <f t="shared" si="61"/>
        <v>8.1436948025598586</v>
      </c>
      <c r="H16" s="1">
        <f t="shared" si="62"/>
        <v>2689.0763887300577</v>
      </c>
      <c r="I16" s="3">
        <f t="shared" si="63"/>
        <v>2688.3757809922522</v>
      </c>
      <c r="J16" s="3">
        <f t="shared" si="64"/>
        <v>-70.060773780551244</v>
      </c>
      <c r="K16" s="3">
        <f t="shared" si="65"/>
        <v>2678.5768570116306</v>
      </c>
      <c r="L16" s="3">
        <f t="shared" si="66"/>
        <v>-1049.9531718427079</v>
      </c>
      <c r="M16">
        <f t="shared" si="67"/>
        <v>2688.0393626261089</v>
      </c>
      <c r="N16">
        <f t="shared" si="68"/>
        <v>-103.70261039488469</v>
      </c>
      <c r="O16">
        <f t="shared" si="69"/>
        <v>2678.1746571672352</v>
      </c>
      <c r="P16">
        <f t="shared" si="70"/>
        <v>-1090.1731562822533</v>
      </c>
      <c r="Q16" s="3">
        <f t="shared" si="71"/>
        <v>0.74227600696992768</v>
      </c>
      <c r="R16" s="3">
        <f t="shared" si="72"/>
        <v>0.96995219637043906</v>
      </c>
      <c r="S16" s="7">
        <f t="shared" si="73"/>
        <v>0.78458933613091131</v>
      </c>
      <c r="T16" s="7">
        <f t="shared" si="74"/>
        <v>1.0455905599688176</v>
      </c>
      <c r="U16" s="7">
        <f t="shared" si="2"/>
        <v>0.58238183953443923</v>
      </c>
      <c r="V16" s="7">
        <f t="shared" si="3"/>
        <v>1.8066047097978197</v>
      </c>
      <c r="X16" s="3">
        <f t="shared" si="0"/>
        <v>-103.71261039488029</v>
      </c>
      <c r="Y16" s="3">
        <f t="shared" si="1"/>
        <v>-1555.6891559232042</v>
      </c>
    </row>
    <row r="17" spans="1:25" x14ac:dyDescent="0.2">
      <c r="A17">
        <v>42</v>
      </c>
      <c r="B17">
        <v>114</v>
      </c>
      <c r="C17" s="3">
        <f t="shared" si="57"/>
        <v>0.96995219637043906</v>
      </c>
      <c r="D17">
        <f t="shared" si="58"/>
        <v>0.74227600696992768</v>
      </c>
      <c r="E17">
        <f t="shared" si="59"/>
        <v>1.0455905599688176</v>
      </c>
      <c r="F17">
        <f t="shared" si="60"/>
        <v>0.78458933613091131</v>
      </c>
      <c r="G17">
        <f t="shared" si="61"/>
        <v>26.266641970244269</v>
      </c>
      <c r="H17" s="1">
        <f t="shared" si="62"/>
        <v>7697.1421111773052</v>
      </c>
      <c r="I17" s="3">
        <f t="shared" si="63"/>
        <v>7695.7654795926865</v>
      </c>
      <c r="J17" s="3">
        <f t="shared" si="64"/>
        <v>-137.66315846187354</v>
      </c>
      <c r="K17" s="3">
        <f t="shared" si="65"/>
        <v>7639.4295875727094</v>
      </c>
      <c r="L17" s="3">
        <f t="shared" si="66"/>
        <v>-5771.2523604595845</v>
      </c>
      <c r="M17">
        <f t="shared" si="67"/>
        <v>7695.3875440167094</v>
      </c>
      <c r="N17">
        <f t="shared" si="68"/>
        <v>-175.45671605957978</v>
      </c>
      <c r="O17">
        <f t="shared" si="69"/>
        <v>7640.8407135058696</v>
      </c>
      <c r="P17">
        <f t="shared" si="70"/>
        <v>-5630.1397671435552</v>
      </c>
      <c r="Q17" s="3">
        <f t="shared" si="71"/>
        <v>1.3194012430158861</v>
      </c>
      <c r="R17" s="3">
        <f t="shared" si="72"/>
        <v>0.98371851221662643</v>
      </c>
      <c r="S17" s="7">
        <f t="shared" si="73"/>
        <v>1.3476033128452669</v>
      </c>
      <c r="T17" s="7">
        <f t="shared" si="74"/>
        <v>1.0631362315747754</v>
      </c>
      <c r="U17" s="7">
        <f t="shared" si="2"/>
        <v>1.7780294860603711</v>
      </c>
      <c r="V17" s="7">
        <f t="shared" si="3"/>
        <v>2.3887985575451181</v>
      </c>
      <c r="X17" s="3">
        <f t="shared" si="0"/>
        <v>-175.46671605951147</v>
      </c>
      <c r="Y17" s="3">
        <f t="shared" si="1"/>
        <v>-7369.6020744994821</v>
      </c>
    </row>
    <row r="18" spans="1:25" x14ac:dyDescent="0.2">
      <c r="A18">
        <v>62</v>
      </c>
      <c r="B18">
        <v>154</v>
      </c>
      <c r="C18" s="3">
        <f t="shared" si="57"/>
        <v>0.98371851221662643</v>
      </c>
      <c r="D18">
        <f t="shared" si="58"/>
        <v>1.3194012430158861</v>
      </c>
      <c r="E18">
        <f t="shared" si="59"/>
        <v>1.0631362315747754</v>
      </c>
      <c r="F18">
        <f t="shared" si="60"/>
        <v>1.3476033128452669</v>
      </c>
      <c r="G18">
        <f t="shared" si="61"/>
        <v>112.62662669328813</v>
      </c>
      <c r="H18" s="1">
        <f t="shared" si="62"/>
        <v>1711.7560187765382</v>
      </c>
      <c r="I18" s="3">
        <f t="shared" si="63"/>
        <v>1710.6411024813726</v>
      </c>
      <c r="J18" s="3">
        <f t="shared" si="64"/>
        <v>-111.49162951655853</v>
      </c>
      <c r="K18" s="3">
        <f t="shared" si="65"/>
        <v>1643.3180327955911</v>
      </c>
      <c r="L18" s="3">
        <f t="shared" si="66"/>
        <v>-6843.7985980947133</v>
      </c>
      <c r="M18">
        <f t="shared" si="67"/>
        <v>1710.9286513104037</v>
      </c>
      <c r="N18">
        <f t="shared" si="68"/>
        <v>-82.73674661345467</v>
      </c>
      <c r="O18">
        <f t="shared" si="69"/>
        <v>1643.9381663434967</v>
      </c>
      <c r="P18">
        <f t="shared" si="70"/>
        <v>-6781.785243304148</v>
      </c>
      <c r="Q18" s="3">
        <f t="shared" si="71"/>
        <v>2.0037811028253576</v>
      </c>
      <c r="R18" s="3">
        <f t="shared" si="72"/>
        <v>0.99486767516828223</v>
      </c>
      <c r="S18" s="7">
        <f t="shared" si="73"/>
        <v>2.0257818371756819</v>
      </c>
      <c r="T18" s="7">
        <f t="shared" si="74"/>
        <v>1.0714099062361209</v>
      </c>
      <c r="U18" s="7">
        <f t="shared" si="2"/>
        <v>4.0592233637794672</v>
      </c>
      <c r="V18" s="7">
        <f t="shared" si="3"/>
        <v>3.0867947729852232</v>
      </c>
      <c r="X18" s="3">
        <f t="shared" si="0"/>
        <v>-82.746746613423738</v>
      </c>
      <c r="Y18" s="3">
        <f t="shared" si="1"/>
        <v>-5130.2982900322713</v>
      </c>
    </row>
    <row r="19" spans="1:25" x14ac:dyDescent="0.2">
      <c r="A19">
        <v>47</v>
      </c>
      <c r="B19">
        <v>124</v>
      </c>
      <c r="C19" s="3">
        <f t="shared" si="57"/>
        <v>0.99486767516828223</v>
      </c>
      <c r="D19">
        <f t="shared" si="58"/>
        <v>2.0037811028253576</v>
      </c>
      <c r="E19">
        <f t="shared" si="59"/>
        <v>1.0714099062361209</v>
      </c>
      <c r="F19">
        <f t="shared" si="60"/>
        <v>2.0257818371756819</v>
      </c>
      <c r="G19">
        <f t="shared" si="61"/>
        <v>193.87029287062015</v>
      </c>
      <c r="H19" s="1">
        <f t="shared" si="62"/>
        <v>4881.8578258262323</v>
      </c>
      <c r="I19" s="3">
        <f t="shared" si="63"/>
        <v>4884.6890756105477</v>
      </c>
      <c r="J19" s="3">
        <f t="shared" si="64"/>
        <v>283.12497843153324</v>
      </c>
      <c r="K19" s="3">
        <f t="shared" si="65"/>
        <v>5015.8138055306035</v>
      </c>
      <c r="L19" s="3">
        <f t="shared" si="66"/>
        <v>13395.59797043712</v>
      </c>
      <c r="M19">
        <f t="shared" si="67"/>
        <v>4883.2553316836475</v>
      </c>
      <c r="N19">
        <f t="shared" si="68"/>
        <v>139.75058574151262</v>
      </c>
      <c r="O19">
        <f t="shared" si="69"/>
        <v>5015.7583278847187</v>
      </c>
      <c r="P19">
        <f t="shared" si="70"/>
        <v>13390.050205848638</v>
      </c>
      <c r="Q19" s="3">
        <f t="shared" si="71"/>
        <v>0.66422130578164551</v>
      </c>
      <c r="R19" s="3">
        <f t="shared" si="72"/>
        <v>0.96655517732512886</v>
      </c>
      <c r="S19" s="7">
        <f t="shared" si="73"/>
        <v>0.68677681659081813</v>
      </c>
      <c r="T19" s="7">
        <f t="shared" si="74"/>
        <v>1.0574348476619697</v>
      </c>
      <c r="U19" s="7">
        <f t="shared" si="2"/>
        <v>0.45617179389651491</v>
      </c>
      <c r="V19" s="7">
        <f t="shared" si="3"/>
        <v>1.7212425354046954</v>
      </c>
      <c r="X19" s="3">
        <f t="shared" si="0"/>
        <v>139.7405857412403</v>
      </c>
      <c r="Y19" s="3">
        <f t="shared" si="1"/>
        <v>6567.8075298382937</v>
      </c>
    </row>
    <row r="20" spans="1:25" x14ac:dyDescent="0.2">
      <c r="A20">
        <v>35</v>
      </c>
      <c r="B20">
        <v>100</v>
      </c>
      <c r="C20" s="3">
        <f t="shared" si="57"/>
        <v>0.96655517732512886</v>
      </c>
      <c r="D20">
        <f t="shared" si="58"/>
        <v>0.66422130578164551</v>
      </c>
      <c r="E20">
        <f t="shared" si="59"/>
        <v>1.0574348476619697</v>
      </c>
      <c r="F20">
        <f t="shared" si="60"/>
        <v>0.68677681659081813</v>
      </c>
      <c r="G20">
        <f t="shared" si="61"/>
        <v>17.687255321782718</v>
      </c>
      <c r="H20" s="1">
        <f t="shared" si="62"/>
        <v>6775.3879364613877</v>
      </c>
      <c r="I20" s="3">
        <f t="shared" si="63"/>
        <v>6774.2573739325289</v>
      </c>
      <c r="J20" s="3">
        <f t="shared" si="64"/>
        <v>-113.0562528858718</v>
      </c>
      <c r="K20" s="3">
        <f t="shared" si="65"/>
        <v>6735.8743757764041</v>
      </c>
      <c r="L20" s="3">
        <f t="shared" si="66"/>
        <v>-3951.3560684983531</v>
      </c>
      <c r="M20">
        <f t="shared" si="67"/>
        <v>6773.7417815678227</v>
      </c>
      <c r="N20">
        <f t="shared" si="68"/>
        <v>-164.61548935649262</v>
      </c>
      <c r="O20">
        <f t="shared" si="69"/>
        <v>6735.5836583806795</v>
      </c>
      <c r="P20">
        <f t="shared" si="70"/>
        <v>-3980.4278080708173</v>
      </c>
      <c r="Q20" s="3">
        <f t="shared" si="71"/>
        <v>1.0593569126314808</v>
      </c>
      <c r="R20" s="3">
        <f t="shared" si="72"/>
        <v>0.977860802613716</v>
      </c>
      <c r="S20" s="7">
        <f t="shared" si="73"/>
        <v>1.0848195973978998</v>
      </c>
      <c r="T20" s="7">
        <f t="shared" si="74"/>
        <v>1.0738963965976189</v>
      </c>
      <c r="U20" s="7">
        <f t="shared" si="2"/>
        <v>1.1492111394615652</v>
      </c>
      <c r="V20" s="7">
        <f t="shared" si="3"/>
        <v>2.1346989588002172</v>
      </c>
      <c r="X20" s="3">
        <f t="shared" si="0"/>
        <v>-164.62548935643457</v>
      </c>
      <c r="Y20" s="3">
        <f t="shared" si="1"/>
        <v>-5761.8921274752101</v>
      </c>
    </row>
    <row r="21" spans="1:25" x14ac:dyDescent="0.2">
      <c r="A21">
        <v>9</v>
      </c>
      <c r="B21">
        <v>48</v>
      </c>
      <c r="C21" s="3">
        <f t="shared" ref="C21:C35" si="75">R20</f>
        <v>0.977860802613716</v>
      </c>
      <c r="D21">
        <f t="shared" ref="D21:D35" si="76">Q20</f>
        <v>1.0593569126314808</v>
      </c>
      <c r="E21">
        <f t="shared" ref="E21:E35" si="77">T20</f>
        <v>1.0738963965976189</v>
      </c>
      <c r="F21">
        <f t="shared" ref="F21:F35" si="78">S20</f>
        <v>1.0848195973978998</v>
      </c>
      <c r="G21">
        <f t="shared" ref="G21:G35" si="79">(D21*A21+C21)*F21+E21</f>
        <v>12.477599213954303</v>
      </c>
      <c r="H21" s="1">
        <f t="shared" ref="H21:H35" si="80">(B21-G21)^2</f>
        <v>1261.8409576044596</v>
      </c>
      <c r="I21" s="3">
        <f t="shared" ref="I21:I35" si="81">((D21*A21+(C21+0.01))*F21+E21-B21)^2</f>
        <v>1261.0703673574292</v>
      </c>
      <c r="J21" s="3">
        <f t="shared" ref="J21:J35" si="82">(I21-H21)/0.01</f>
        <v>-77.059024703044088</v>
      </c>
      <c r="K21" s="3">
        <f t="shared" ref="K21:K35" si="83">(((D21+0.01)*A21+C21)*F21+E21-B21)^2</f>
        <v>1254.9141185828087</v>
      </c>
      <c r="L21" s="3">
        <f t="shared" ref="L21:L35" si="84">(K21-H21)/0.01</f>
        <v>-692.68390216509488</v>
      </c>
      <c r="M21">
        <f t="shared" ref="M21:M35" si="85">((D21*A21+C21)*F21+(E21+0.01)-B21)^2</f>
        <v>1261.1306095887389</v>
      </c>
      <c r="N21">
        <f t="shared" ref="N21:N35" si="86">(M21-H21)/0.01</f>
        <v>-71.034801572068318</v>
      </c>
      <c r="O21">
        <f t="shared" ref="O21:O35" si="87">((D21*A21+C21)*(F21+0.01)+E21-B21)^2</f>
        <v>1254.3837265568284</v>
      </c>
      <c r="P21">
        <f t="shared" ref="P21:P35" si="88">(O21-H21)/0.01</f>
        <v>-745.72310476312396</v>
      </c>
      <c r="Q21" s="3">
        <f t="shared" ref="Q21:Q35" si="89">D21-L21*$H$1</f>
        <v>1.1286253028479902</v>
      </c>
      <c r="R21" s="3">
        <f t="shared" ref="R21:R35" si="90">C21-J21*$H$1</f>
        <v>0.98556670508402044</v>
      </c>
      <c r="S21" s="7">
        <f t="shared" ref="S21:S35" si="91">F21-P21*$H$1</f>
        <v>1.1593919078742121</v>
      </c>
      <c r="T21" s="7">
        <f t="shared" ref="T21:T35" si="92">E21-N21*$H$1</f>
        <v>1.0809998767548257</v>
      </c>
      <c r="U21" s="7">
        <f t="shared" si="2"/>
        <v>1.3085190431440419</v>
      </c>
      <c r="V21" s="7">
        <f t="shared" si="3"/>
        <v>2.2236579392994891</v>
      </c>
      <c r="X21" s="3">
        <f t="shared" si="0"/>
        <v>-71.044801572091387</v>
      </c>
      <c r="Y21" s="3">
        <f t="shared" si="1"/>
        <v>-639.40321414882249</v>
      </c>
    </row>
    <row r="22" spans="1:25" x14ac:dyDescent="0.2">
      <c r="A22">
        <v>38</v>
      </c>
      <c r="B22">
        <v>106</v>
      </c>
      <c r="C22" s="3">
        <f t="shared" si="75"/>
        <v>0.98556670508402044</v>
      </c>
      <c r="D22">
        <f t="shared" si="76"/>
        <v>1.1286253028479902</v>
      </c>
      <c r="E22">
        <f t="shared" si="77"/>
        <v>1.0809998767548257</v>
      </c>
      <c r="F22">
        <f t="shared" si="78"/>
        <v>1.1593919078742121</v>
      </c>
      <c r="G22">
        <f t="shared" si="79"/>
        <v>51.947381578773069</v>
      </c>
      <c r="H22" s="1">
        <f t="shared" si="80"/>
        <v>2921.6855581907612</v>
      </c>
      <c r="I22" s="3">
        <f t="shared" si="81"/>
        <v>2920.4323292417803</v>
      </c>
      <c r="J22" s="3">
        <f t="shared" si="82"/>
        <v>-125.32289489809045</v>
      </c>
      <c r="K22" s="3">
        <f t="shared" si="83"/>
        <v>2874.251851186722</v>
      </c>
      <c r="L22" s="3">
        <f t="shared" si="84"/>
        <v>-4743.3707004039206</v>
      </c>
      <c r="M22">
        <f t="shared" si="85"/>
        <v>2920.604605822336</v>
      </c>
      <c r="N22">
        <f t="shared" si="86"/>
        <v>-108.09523684251872</v>
      </c>
      <c r="O22">
        <f t="shared" si="87"/>
        <v>2874.4486797079485</v>
      </c>
      <c r="P22">
        <f t="shared" si="88"/>
        <v>-4723.6878482812699</v>
      </c>
      <c r="Q22" s="3">
        <f t="shared" si="89"/>
        <v>1.6029623728883824</v>
      </c>
      <c r="R22" s="3">
        <f t="shared" si="90"/>
        <v>0.99809899457382945</v>
      </c>
      <c r="S22" s="7">
        <f t="shared" si="91"/>
        <v>1.6317606927023391</v>
      </c>
      <c r="T22" s="7">
        <f t="shared" si="92"/>
        <v>1.0918094004390775</v>
      </c>
      <c r="U22" s="7">
        <f t="shared" si="2"/>
        <v>2.6156509919601323</v>
      </c>
      <c r="V22" s="7">
        <f t="shared" si="3"/>
        <v>2.7204681072103778</v>
      </c>
      <c r="X22" s="3">
        <f t="shared" si="0"/>
        <v>-108.10523684245386</v>
      </c>
      <c r="Y22" s="3">
        <f t="shared" si="1"/>
        <v>-4107.9990000132466</v>
      </c>
    </row>
    <row r="23" spans="1:25" x14ac:dyDescent="0.2">
      <c r="A23">
        <v>44</v>
      </c>
      <c r="B23">
        <v>118</v>
      </c>
      <c r="C23" s="3">
        <f t="shared" si="75"/>
        <v>0.99809899457382945</v>
      </c>
      <c r="D23">
        <f t="shared" si="76"/>
        <v>1.6029623728883824</v>
      </c>
      <c r="E23">
        <f t="shared" si="77"/>
        <v>1.0918094004390775</v>
      </c>
      <c r="F23">
        <f t="shared" si="78"/>
        <v>1.6317606927023391</v>
      </c>
      <c r="G23">
        <f t="shared" si="79"/>
        <v>117.80911175345616</v>
      </c>
      <c r="H23" s="1">
        <f t="shared" si="80"/>
        <v>3.6438322668580048E-2</v>
      </c>
      <c r="I23" s="3">
        <f t="shared" si="81"/>
        <v>3.0474908216219777E-2</v>
      </c>
      <c r="J23" s="3">
        <f t="shared" si="82"/>
        <v>-0.59634144523602706</v>
      </c>
      <c r="K23" s="3">
        <f t="shared" si="83"/>
        <v>0.27782013446549209</v>
      </c>
      <c r="L23" s="3">
        <f t="shared" si="84"/>
        <v>24.138181179691202</v>
      </c>
      <c r="M23">
        <f t="shared" si="85"/>
        <v>3.2720557737701488E-2</v>
      </c>
      <c r="N23">
        <f t="shared" si="86"/>
        <v>-0.37177649308785599</v>
      </c>
      <c r="O23">
        <f t="shared" si="87"/>
        <v>0.27499136143599617</v>
      </c>
      <c r="P23">
        <f t="shared" si="88"/>
        <v>23.855303876741612</v>
      </c>
      <c r="Q23" s="3">
        <f t="shared" si="89"/>
        <v>1.6005485547704132</v>
      </c>
      <c r="R23" s="3">
        <f t="shared" si="90"/>
        <v>0.99815862871835304</v>
      </c>
      <c r="S23" s="7">
        <f t="shared" si="91"/>
        <v>1.6293751623146651</v>
      </c>
      <c r="T23" s="7">
        <f t="shared" si="92"/>
        <v>1.0918465780883864</v>
      </c>
      <c r="U23" s="7">
        <f t="shared" si="2"/>
        <v>2.6078940612215447</v>
      </c>
      <c r="V23" s="7">
        <f t="shared" si="3"/>
        <v>2.7182214557721363</v>
      </c>
      <c r="X23" s="3">
        <f t="shared" si="0"/>
        <v>-0.38177649308767059</v>
      </c>
      <c r="Y23" s="3">
        <f t="shared" si="1"/>
        <v>-16.798165695857506</v>
      </c>
    </row>
    <row r="24" spans="1:25" x14ac:dyDescent="0.2">
      <c r="A24">
        <v>99</v>
      </c>
      <c r="B24">
        <v>228</v>
      </c>
      <c r="C24" s="3">
        <f t="shared" si="75"/>
        <v>0.99815862871835304</v>
      </c>
      <c r="D24">
        <f t="shared" si="76"/>
        <v>1.6005485547704132</v>
      </c>
      <c r="E24">
        <f t="shared" si="77"/>
        <v>1.0918465780883864</v>
      </c>
      <c r="F24">
        <f t="shared" si="78"/>
        <v>1.6293751623146651</v>
      </c>
      <c r="G24">
        <f t="shared" si="79"/>
        <v>260.89973351670506</v>
      </c>
      <c r="H24" s="1">
        <f t="shared" si="80"/>
        <v>1082.3924654702059</v>
      </c>
      <c r="I24" s="3">
        <f t="shared" si="81"/>
        <v>1083.464851129326</v>
      </c>
      <c r="J24" s="3">
        <f t="shared" si="82"/>
        <v>107.23856591200729</v>
      </c>
      <c r="K24" s="3">
        <f t="shared" si="83"/>
        <v>1191.134394212731</v>
      </c>
      <c r="L24" s="3">
        <f t="shared" si="84"/>
        <v>10874.192874252503</v>
      </c>
      <c r="M24">
        <f t="shared" si="85"/>
        <v>1083.0505601405396</v>
      </c>
      <c r="N24">
        <f t="shared" si="86"/>
        <v>65.809467033363944</v>
      </c>
      <c r="O24">
        <f t="shared" si="87"/>
        <v>1189.8538468514203</v>
      </c>
      <c r="P24">
        <f t="shared" si="88"/>
        <v>10746.138138121432</v>
      </c>
      <c r="Q24" s="3">
        <f t="shared" si="89"/>
        <v>0.51312926734516284</v>
      </c>
      <c r="R24" s="3">
        <f t="shared" si="90"/>
        <v>0.98743477212715236</v>
      </c>
      <c r="S24" s="7">
        <f t="shared" si="91"/>
        <v>0.55476134850252179</v>
      </c>
      <c r="T24" s="7">
        <f t="shared" si="92"/>
        <v>1.0852656313850499</v>
      </c>
      <c r="U24" s="7">
        <f t="shared" si="2"/>
        <v>0.28466428430851354</v>
      </c>
      <c r="V24" s="7">
        <f t="shared" si="3"/>
        <v>1.6330562771285893</v>
      </c>
      <c r="X24" s="3">
        <f t="shared" si="0"/>
        <v>65.79946703341011</v>
      </c>
      <c r="Y24" s="3">
        <f t="shared" si="1"/>
        <v>6514.1472363076009</v>
      </c>
    </row>
    <row r="25" spans="1:25" x14ac:dyDescent="0.2">
      <c r="A25">
        <v>13</v>
      </c>
      <c r="B25">
        <v>56</v>
      </c>
      <c r="C25" s="3">
        <f t="shared" si="75"/>
        <v>0.98743477212715236</v>
      </c>
      <c r="D25">
        <f t="shared" si="76"/>
        <v>0.51312926734516284</v>
      </c>
      <c r="E25">
        <f t="shared" si="77"/>
        <v>1.0852656313850499</v>
      </c>
      <c r="F25">
        <f t="shared" si="78"/>
        <v>0.55476134850252179</v>
      </c>
      <c r="G25">
        <f t="shared" si="79"/>
        <v>5.3336919731392651</v>
      </c>
      <c r="H25" s="1">
        <f t="shared" si="80"/>
        <v>2567.0747690727326</v>
      </c>
      <c r="I25" s="3">
        <f t="shared" si="81"/>
        <v>2566.5126456614557</v>
      </c>
      <c r="J25" s="3">
        <f t="shared" si="82"/>
        <v>-56.21234112768434</v>
      </c>
      <c r="K25" s="3">
        <f t="shared" si="83"/>
        <v>2559.7719657845287</v>
      </c>
      <c r="L25" s="3">
        <f t="shared" si="84"/>
        <v>-730.28032882039042</v>
      </c>
      <c r="M25">
        <f t="shared" si="85"/>
        <v>2566.0615429121954</v>
      </c>
      <c r="N25">
        <f t="shared" si="86"/>
        <v>-101.3226160537215</v>
      </c>
      <c r="O25">
        <f t="shared" si="87"/>
        <v>2559.320465224831</v>
      </c>
      <c r="P25">
        <f t="shared" si="88"/>
        <v>-775.43038479016104</v>
      </c>
      <c r="Q25" s="3">
        <f t="shared" si="89"/>
        <v>0.58615730022720192</v>
      </c>
      <c r="R25" s="3">
        <f t="shared" si="90"/>
        <v>0.99305600623992074</v>
      </c>
      <c r="S25" s="7">
        <f t="shared" si="91"/>
        <v>0.6323043869815379</v>
      </c>
      <c r="T25" s="7">
        <f t="shared" si="92"/>
        <v>1.095397892990422</v>
      </c>
      <c r="U25" s="7">
        <f t="shared" si="2"/>
        <v>0.37062983239491415</v>
      </c>
      <c r="V25" s="7">
        <f t="shared" si="3"/>
        <v>1.7233115622542894</v>
      </c>
      <c r="X25" s="3">
        <f t="shared" si="0"/>
        <v>-101.33261605372147</v>
      </c>
      <c r="Y25" s="3">
        <f t="shared" si="1"/>
        <v>-1317.324008698379</v>
      </c>
    </row>
    <row r="26" spans="1:25" x14ac:dyDescent="0.2">
      <c r="A26">
        <v>21</v>
      </c>
      <c r="B26">
        <v>72</v>
      </c>
      <c r="C26" s="3">
        <f t="shared" si="75"/>
        <v>0.99305600623992074</v>
      </c>
      <c r="D26">
        <f t="shared" si="76"/>
        <v>0.58615730022720192</v>
      </c>
      <c r="E26">
        <f t="shared" si="77"/>
        <v>1.095397892990422</v>
      </c>
      <c r="F26">
        <f t="shared" si="78"/>
        <v>0.6323043869815379</v>
      </c>
      <c r="G26">
        <f t="shared" si="79"/>
        <v>9.5065380425474881</v>
      </c>
      <c r="H26" s="1">
        <f t="shared" si="80"/>
        <v>3905.4327874275641</v>
      </c>
      <c r="I26" s="3">
        <f t="shared" si="81"/>
        <v>3904.6425296053808</v>
      </c>
      <c r="J26" s="3">
        <f t="shared" si="82"/>
        <v>-79.025782218332097</v>
      </c>
      <c r="K26" s="3">
        <f t="shared" si="83"/>
        <v>3888.8541651329001</v>
      </c>
      <c r="L26" s="3">
        <f t="shared" si="84"/>
        <v>-1657.8622294664001</v>
      </c>
      <c r="M26">
        <f t="shared" si="85"/>
        <v>3904.1830181884152</v>
      </c>
      <c r="N26">
        <f t="shared" si="86"/>
        <v>-124.97692391489181</v>
      </c>
      <c r="O26">
        <f t="shared" si="87"/>
        <v>3888.8242729929475</v>
      </c>
      <c r="P26">
        <f t="shared" si="88"/>
        <v>-1660.8514434616609</v>
      </c>
      <c r="Q26" s="3">
        <f t="shared" si="89"/>
        <v>0.75194352317384194</v>
      </c>
      <c r="R26" s="3">
        <f t="shared" si="90"/>
        <v>1.0009585844617539</v>
      </c>
      <c r="S26" s="7">
        <f t="shared" si="91"/>
        <v>0.79838953132770396</v>
      </c>
      <c r="T26" s="7">
        <f t="shared" si="92"/>
        <v>1.1078955853819112</v>
      </c>
      <c r="U26" s="7">
        <f t="shared" si="2"/>
        <v>0.60034383705166616</v>
      </c>
      <c r="V26" s="7">
        <f t="shared" si="3"/>
        <v>1.9070504405087729</v>
      </c>
      <c r="X26" s="3">
        <f t="shared" si="0"/>
        <v>-124.98692391490502</v>
      </c>
      <c r="Y26" s="3">
        <f t="shared" si="1"/>
        <v>-2624.7254022130055</v>
      </c>
    </row>
    <row r="27" spans="1:25" x14ac:dyDescent="0.2">
      <c r="A27">
        <v>28</v>
      </c>
      <c r="B27">
        <v>86</v>
      </c>
      <c r="C27" s="3">
        <f t="shared" si="75"/>
        <v>1.0009585844617539</v>
      </c>
      <c r="D27">
        <f t="shared" si="76"/>
        <v>0.75194352317384194</v>
      </c>
      <c r="E27">
        <f t="shared" si="77"/>
        <v>1.1078955853819112</v>
      </c>
      <c r="F27">
        <f t="shared" si="78"/>
        <v>0.79838953132770396</v>
      </c>
      <c r="G27">
        <f t="shared" si="79"/>
        <v>18.716677877955426</v>
      </c>
      <c r="H27" s="1">
        <f t="shared" si="80"/>
        <v>4527.045435778814</v>
      </c>
      <c r="I27" s="3">
        <f t="shared" si="81"/>
        <v>4525.9711335210932</v>
      </c>
      <c r="J27" s="3">
        <f t="shared" si="82"/>
        <v>-107.43022577207739</v>
      </c>
      <c r="K27" s="3">
        <f t="shared" si="83"/>
        <v>4497.0131619564554</v>
      </c>
      <c r="L27" s="3">
        <f t="shared" si="84"/>
        <v>-3003.2273822358547</v>
      </c>
      <c r="M27">
        <f t="shared" si="85"/>
        <v>4525.6998693363721</v>
      </c>
      <c r="N27">
        <f t="shared" si="86"/>
        <v>-134.55664424418501</v>
      </c>
      <c r="O27">
        <f t="shared" si="87"/>
        <v>4497.4148987270364</v>
      </c>
      <c r="P27">
        <f t="shared" si="88"/>
        <v>-2963.0537051777537</v>
      </c>
      <c r="Q27" s="3">
        <f t="shared" si="89"/>
        <v>1.0522662613974274</v>
      </c>
      <c r="R27" s="3">
        <f t="shared" si="90"/>
        <v>1.0117016070389617</v>
      </c>
      <c r="S27" s="7">
        <f t="shared" si="91"/>
        <v>1.0946949018454792</v>
      </c>
      <c r="T27" s="7">
        <f t="shared" si="92"/>
        <v>1.1213512498063298</v>
      </c>
      <c r="U27" s="7">
        <f t="shared" si="2"/>
        <v>1.1519105117357662</v>
      </c>
      <c r="V27" s="7">
        <f t="shared" si="3"/>
        <v>2.22885584122076</v>
      </c>
      <c r="X27" s="3">
        <f t="shared" si="0"/>
        <v>-134.56664424408916</v>
      </c>
      <c r="Y27" s="3">
        <f t="shared" si="1"/>
        <v>-3767.8660388344965</v>
      </c>
    </row>
    <row r="28" spans="1:25" x14ac:dyDescent="0.2">
      <c r="A28">
        <v>20</v>
      </c>
      <c r="B28">
        <v>70</v>
      </c>
      <c r="C28" s="3">
        <f t="shared" si="75"/>
        <v>1.0117016070389617</v>
      </c>
      <c r="D28">
        <f t="shared" si="76"/>
        <v>1.0522662613974274</v>
      </c>
      <c r="E28">
        <f t="shared" si="77"/>
        <v>1.1213512498063298</v>
      </c>
      <c r="F28">
        <f t="shared" si="78"/>
        <v>1.0946949018454792</v>
      </c>
      <c r="G28">
        <f t="shared" si="79"/>
        <v>25.267066075936086</v>
      </c>
      <c r="H28" s="1">
        <f t="shared" si="80"/>
        <v>2001.0353774546682</v>
      </c>
      <c r="I28" s="3">
        <f t="shared" si="81"/>
        <v>2000.0561189961352</v>
      </c>
      <c r="J28" s="3">
        <f t="shared" si="82"/>
        <v>-97.925845853296778</v>
      </c>
      <c r="K28" s="3">
        <f t="shared" si="83"/>
        <v>1981.4957458472879</v>
      </c>
      <c r="L28" s="3">
        <f t="shared" si="84"/>
        <v>-1953.9631607380215</v>
      </c>
      <c r="M28">
        <f t="shared" si="85"/>
        <v>2000.1408187761872</v>
      </c>
      <c r="N28">
        <f t="shared" si="86"/>
        <v>-89.455867848096204</v>
      </c>
      <c r="O28">
        <f t="shared" si="87"/>
        <v>1981.3505182185322</v>
      </c>
      <c r="P28">
        <f t="shared" si="88"/>
        <v>-1968.4859236135935</v>
      </c>
      <c r="Q28" s="3">
        <f t="shared" si="89"/>
        <v>1.2476625774712296</v>
      </c>
      <c r="R28" s="3">
        <f t="shared" si="90"/>
        <v>1.0214941916242914</v>
      </c>
      <c r="S28" s="7">
        <f t="shared" si="91"/>
        <v>1.2915434942068387</v>
      </c>
      <c r="T28" s="7">
        <f t="shared" si="92"/>
        <v>1.1302968365911394</v>
      </c>
      <c r="U28" s="7">
        <f t="shared" si="2"/>
        <v>1.6114104848983024</v>
      </c>
      <c r="V28" s="7">
        <f t="shared" si="3"/>
        <v>2.4496010141535667</v>
      </c>
      <c r="X28" s="3">
        <f t="shared" si="0"/>
        <v>-89.465867848127829</v>
      </c>
      <c r="Y28" s="3">
        <f t="shared" si="1"/>
        <v>-1789.3173569625565</v>
      </c>
    </row>
    <row r="29" spans="1:25" x14ac:dyDescent="0.2">
      <c r="A29">
        <v>8</v>
      </c>
      <c r="B29">
        <v>46</v>
      </c>
      <c r="C29" s="3">
        <f t="shared" si="75"/>
        <v>1.0214941916242914</v>
      </c>
      <c r="D29">
        <f t="shared" si="76"/>
        <v>1.2476625774712296</v>
      </c>
      <c r="E29">
        <f t="shared" si="77"/>
        <v>1.1302968365911394</v>
      </c>
      <c r="F29">
        <f t="shared" si="78"/>
        <v>1.2915434942068387</v>
      </c>
      <c r="G29">
        <f t="shared" si="79"/>
        <v>15.340884893339986</v>
      </c>
      <c r="H29" s="1">
        <f t="shared" si="80"/>
        <v>939.98133912342826</v>
      </c>
      <c r="I29" s="3">
        <f t="shared" si="81"/>
        <v>939.18955431880511</v>
      </c>
      <c r="J29" s="3">
        <f t="shared" si="82"/>
        <v>-79.178480462314837</v>
      </c>
      <c r="K29" s="3">
        <f t="shared" si="83"/>
        <v>933.65640196018865</v>
      </c>
      <c r="L29" s="3">
        <f t="shared" si="84"/>
        <v>-632.49371632396105</v>
      </c>
      <c r="M29">
        <f t="shared" si="85"/>
        <v>939.36825682129495</v>
      </c>
      <c r="N29">
        <f t="shared" si="86"/>
        <v>-61.308230213330717</v>
      </c>
      <c r="O29">
        <f t="shared" si="87"/>
        <v>933.24672622044454</v>
      </c>
      <c r="P29">
        <f t="shared" si="88"/>
        <v>-673.4612902983713</v>
      </c>
      <c r="Q29" s="3">
        <f t="shared" si="89"/>
        <v>1.3109119491036256</v>
      </c>
      <c r="R29" s="3">
        <f t="shared" si="90"/>
        <v>1.0294120396705229</v>
      </c>
      <c r="S29" s="7">
        <f t="shared" si="91"/>
        <v>1.3588896232366758</v>
      </c>
      <c r="T29" s="7">
        <f t="shared" si="92"/>
        <v>1.1364276596124725</v>
      </c>
      <c r="U29" s="7">
        <f t="shared" si="2"/>
        <v>1.7813846446138821</v>
      </c>
      <c r="V29" s="7">
        <f t="shared" si="3"/>
        <v>2.5352849983556474</v>
      </c>
      <c r="X29" s="3">
        <f t="shared" si="0"/>
        <v>-61.318230213320028</v>
      </c>
      <c r="Y29" s="3">
        <f t="shared" si="1"/>
        <v>-490.54584170656022</v>
      </c>
    </row>
    <row r="30" spans="1:25" x14ac:dyDescent="0.2">
      <c r="A30">
        <v>64</v>
      </c>
      <c r="B30">
        <v>158</v>
      </c>
      <c r="C30" s="3">
        <f t="shared" si="75"/>
        <v>1.0294120396705229</v>
      </c>
      <c r="D30">
        <f t="shared" si="76"/>
        <v>1.3109119491036256</v>
      </c>
      <c r="E30">
        <f t="shared" si="77"/>
        <v>1.1364276596124725</v>
      </c>
      <c r="F30">
        <f t="shared" si="78"/>
        <v>1.3588896232366758</v>
      </c>
      <c r="G30">
        <f t="shared" si="79"/>
        <v>116.54390225364409</v>
      </c>
      <c r="H30" s="1">
        <f t="shared" si="80"/>
        <v>1718.6080403554154</v>
      </c>
      <c r="I30" s="3">
        <f t="shared" si="81"/>
        <v>1717.4815397925661</v>
      </c>
      <c r="J30" s="3">
        <f t="shared" si="82"/>
        <v>-112.65005628492872</v>
      </c>
      <c r="K30" s="3">
        <f t="shared" si="83"/>
        <v>1647.2565457956662</v>
      </c>
      <c r="L30" s="3">
        <f t="shared" si="84"/>
        <v>-7135.1494559749199</v>
      </c>
      <c r="M30">
        <f t="shared" si="85"/>
        <v>1717.779018400488</v>
      </c>
      <c r="N30">
        <f t="shared" si="86"/>
        <v>-82.902195492738429</v>
      </c>
      <c r="O30">
        <f t="shared" si="87"/>
        <v>1648.9138287689773</v>
      </c>
      <c r="P30">
        <f t="shared" si="88"/>
        <v>-6969.4211586438087</v>
      </c>
      <c r="Q30" s="3">
        <f t="shared" si="89"/>
        <v>2.0244268947011177</v>
      </c>
      <c r="R30" s="3">
        <f t="shared" si="90"/>
        <v>1.0406770452990157</v>
      </c>
      <c r="S30" s="7">
        <f t="shared" si="91"/>
        <v>2.0558317391010568</v>
      </c>
      <c r="T30" s="7">
        <f t="shared" si="92"/>
        <v>1.1447178791617463</v>
      </c>
      <c r="U30" s="7">
        <f t="shared" si="2"/>
        <v>4.1618810636163506</v>
      </c>
      <c r="V30" s="7">
        <f t="shared" si="3"/>
        <v>3.2841747790413711</v>
      </c>
      <c r="X30" s="3">
        <f t="shared" si="0"/>
        <v>-82.912195492711817</v>
      </c>
      <c r="Y30" s="3">
        <f t="shared" si="1"/>
        <v>-5306.3805115335563</v>
      </c>
    </row>
    <row r="31" spans="1:25" x14ac:dyDescent="0.2">
      <c r="A31">
        <v>99</v>
      </c>
      <c r="B31">
        <v>228</v>
      </c>
      <c r="C31" s="3">
        <f t="shared" si="75"/>
        <v>1.0406770452990157</v>
      </c>
      <c r="D31">
        <f t="shared" si="76"/>
        <v>2.0244268947011177</v>
      </c>
      <c r="E31">
        <f t="shared" si="77"/>
        <v>1.1447178791617463</v>
      </c>
      <c r="F31">
        <f t="shared" si="78"/>
        <v>2.0558317391010568</v>
      </c>
      <c r="G31">
        <f t="shared" si="79"/>
        <v>415.31040007706014</v>
      </c>
      <c r="H31" s="1">
        <f t="shared" si="80"/>
        <v>35085.185977028334</v>
      </c>
      <c r="I31" s="3">
        <f t="shared" si="81"/>
        <v>35092.88797298359</v>
      </c>
      <c r="J31" s="3">
        <f t="shared" si="82"/>
        <v>770.19959552562796</v>
      </c>
      <c r="K31" s="3">
        <f t="shared" si="83"/>
        <v>35851.784072702852</v>
      </c>
      <c r="L31" s="3">
        <f t="shared" si="84"/>
        <v>76659.809567451885</v>
      </c>
      <c r="M31">
        <f t="shared" si="85"/>
        <v>35088.93228502987</v>
      </c>
      <c r="N31">
        <f t="shared" si="86"/>
        <v>374.63080015368178</v>
      </c>
      <c r="O31">
        <f t="shared" si="87"/>
        <v>35843.951639052728</v>
      </c>
      <c r="P31">
        <f t="shared" si="88"/>
        <v>75876.566202439426</v>
      </c>
      <c r="Q31" s="3">
        <f t="shared" si="89"/>
        <v>-5.6415540620440714</v>
      </c>
      <c r="R31" s="3">
        <f t="shared" si="90"/>
        <v>0.96365708574645292</v>
      </c>
      <c r="S31" s="7">
        <f t="shared" si="91"/>
        <v>-5.531824881142887</v>
      </c>
      <c r="T31" s="7">
        <f t="shared" si="92"/>
        <v>1.1072547991463781</v>
      </c>
      <c r="U31" s="7">
        <f t="shared" si="2"/>
        <v>31.208089128728115</v>
      </c>
      <c r="V31" s="7">
        <f t="shared" si="3"/>
        <v>-4.2235274446754953</v>
      </c>
      <c r="X31" s="3">
        <f t="shared" si="0"/>
        <v>374.62080015412027</v>
      </c>
      <c r="Y31" s="3">
        <f t="shared" si="1"/>
        <v>37087.459215257906</v>
      </c>
    </row>
    <row r="32" spans="1:25" x14ac:dyDescent="0.2">
      <c r="A32">
        <v>70</v>
      </c>
      <c r="B32">
        <v>170</v>
      </c>
      <c r="C32" s="3">
        <f t="shared" si="75"/>
        <v>0.96365708574645292</v>
      </c>
      <c r="D32">
        <f t="shared" si="76"/>
        <v>-5.6415540620440714</v>
      </c>
      <c r="E32">
        <f t="shared" si="77"/>
        <v>1.1072547991463781</v>
      </c>
      <c r="F32">
        <f t="shared" si="78"/>
        <v>-5.531824881142887</v>
      </c>
      <c r="G32">
        <f t="shared" si="79"/>
        <v>2180.3427115662926</v>
      </c>
      <c r="H32" s="1">
        <f t="shared" si="80"/>
        <v>4041477.8179477137</v>
      </c>
      <c r="I32" s="3">
        <f t="shared" si="81"/>
        <v>4041255.4037311925</v>
      </c>
      <c r="J32" s="3">
        <f t="shared" si="82"/>
        <v>-22241.421652119607</v>
      </c>
      <c r="K32" s="3">
        <f t="shared" si="83"/>
        <v>4025923.6031160532</v>
      </c>
      <c r="L32" s="3">
        <f t="shared" si="84"/>
        <v>-1555421.4831660502</v>
      </c>
      <c r="M32">
        <f t="shared" si="85"/>
        <v>4041518.0249019461</v>
      </c>
      <c r="N32">
        <f t="shared" si="86"/>
        <v>4020.6954232417047</v>
      </c>
      <c r="O32">
        <f t="shared" si="87"/>
        <v>4025654.0429172674</v>
      </c>
      <c r="P32">
        <f t="shared" si="88"/>
        <v>-1582377.5030446239</v>
      </c>
      <c r="Q32" s="3">
        <f t="shared" si="89"/>
        <v>149.90059425456096</v>
      </c>
      <c r="R32" s="3">
        <f t="shared" si="90"/>
        <v>3.1877992509584137</v>
      </c>
      <c r="S32" s="7">
        <f t="shared" si="91"/>
        <v>152.70592542331951</v>
      </c>
      <c r="T32" s="7">
        <f t="shared" si="92"/>
        <v>0.70518525682220767</v>
      </c>
      <c r="U32" s="7">
        <f t="shared" si="2"/>
        <v>22890.708967148264</v>
      </c>
      <c r="V32" s="7">
        <f t="shared" si="3"/>
        <v>487.50101993819158</v>
      </c>
      <c r="X32" s="3">
        <f t="shared" si="0"/>
        <v>4020.6854231325851</v>
      </c>
      <c r="Y32" s="3">
        <f t="shared" si="1"/>
        <v>281447.97961928096</v>
      </c>
    </row>
    <row r="33" spans="1:25" x14ac:dyDescent="0.2">
      <c r="A33">
        <v>27</v>
      </c>
      <c r="B33">
        <v>84</v>
      </c>
      <c r="C33" s="3">
        <f t="shared" si="75"/>
        <v>3.1877992509584137</v>
      </c>
      <c r="D33">
        <f t="shared" si="76"/>
        <v>149.90059425456096</v>
      </c>
      <c r="E33">
        <f t="shared" si="77"/>
        <v>0.70518525682220767</v>
      </c>
      <c r="F33">
        <f t="shared" si="78"/>
        <v>152.70592542331951</v>
      </c>
      <c r="G33">
        <f t="shared" si="79"/>
        <v>618536.64313294133</v>
      </c>
      <c r="H33" s="1">
        <f t="shared" si="80"/>
        <v>382483671798.12128</v>
      </c>
      <c r="I33" s="3">
        <f t="shared" si="81"/>
        <v>382485560628.11707</v>
      </c>
      <c r="J33" s="3">
        <f t="shared" si="82"/>
        <v>188882999.57885742</v>
      </c>
      <c r="K33" s="3">
        <f t="shared" si="83"/>
        <v>382534671845.01154</v>
      </c>
      <c r="L33" s="3">
        <f t="shared" si="84"/>
        <v>5100004689.0258789</v>
      </c>
      <c r="M33">
        <f t="shared" si="85"/>
        <v>382483684167.17426</v>
      </c>
      <c r="N33">
        <f t="shared" si="86"/>
        <v>1236905.2978515625</v>
      </c>
      <c r="O33">
        <f t="shared" si="87"/>
        <v>382533774334.94769</v>
      </c>
      <c r="P33">
        <f t="shared" si="88"/>
        <v>5010253682.6416016</v>
      </c>
      <c r="Q33" s="3">
        <f t="shared" si="89"/>
        <v>-509850.56830833334</v>
      </c>
      <c r="R33" s="3">
        <f t="shared" si="90"/>
        <v>-18885.112158634784</v>
      </c>
      <c r="S33" s="7">
        <f t="shared" si="91"/>
        <v>-500872.66233873687</v>
      </c>
      <c r="T33" s="7">
        <f t="shared" si="92"/>
        <v>-122.98534452833405</v>
      </c>
      <c r="U33" s="7">
        <f t="shared" si="2"/>
        <v>255370211543.51294</v>
      </c>
      <c r="V33" s="7">
        <f t="shared" si="3"/>
        <v>9459036282.4757099</v>
      </c>
      <c r="X33" s="3">
        <f t="shared" si="0"/>
        <v>1236905.2862658827</v>
      </c>
      <c r="Y33" s="3">
        <f t="shared" si="1"/>
        <v>33396442.729178831</v>
      </c>
    </row>
    <row r="34" spans="1:25" x14ac:dyDescent="0.2">
      <c r="A34">
        <v>17</v>
      </c>
      <c r="B34">
        <v>64</v>
      </c>
      <c r="C34" s="3">
        <f t="shared" si="75"/>
        <v>-18885.112158634784</v>
      </c>
      <c r="D34">
        <f t="shared" si="76"/>
        <v>-509850.56830833334</v>
      </c>
      <c r="E34">
        <f t="shared" si="77"/>
        <v>-122.98534452833405</v>
      </c>
      <c r="F34">
        <f t="shared" si="78"/>
        <v>-500872.66233873687</v>
      </c>
      <c r="G34">
        <f t="shared" si="79"/>
        <v>4350752632522.1963</v>
      </c>
      <c r="H34" s="1">
        <f t="shared" si="80"/>
        <v>1.8929048468841924E+25</v>
      </c>
      <c r="I34" s="3">
        <f t="shared" si="81"/>
        <v>1.892904842525846E+25</v>
      </c>
      <c r="J34" s="3">
        <f t="shared" si="82"/>
        <v>-4.3583464104001536E+18</v>
      </c>
      <c r="K34" s="3">
        <f t="shared" si="83"/>
        <v>1.8929047727923094E+25</v>
      </c>
      <c r="L34" s="3">
        <f t="shared" si="84"/>
        <v>-7.4091882963848397E+19</v>
      </c>
      <c r="M34">
        <f t="shared" si="85"/>
        <v>1.892904846884201E+25</v>
      </c>
      <c r="N34">
        <f t="shared" si="86"/>
        <v>8589934592000</v>
      </c>
      <c r="O34">
        <f t="shared" si="87"/>
        <v>1.8929047712999185E+25</v>
      </c>
      <c r="P34">
        <f t="shared" si="88"/>
        <v>-7.5584273933297254E+19</v>
      </c>
      <c r="Q34" s="3">
        <f t="shared" si="89"/>
        <v>7409188295874989</v>
      </c>
      <c r="R34" s="3">
        <f t="shared" si="90"/>
        <v>435834641021130.25</v>
      </c>
      <c r="S34" s="7">
        <f t="shared" si="91"/>
        <v>7558427392828853</v>
      </c>
      <c r="T34" s="7">
        <f t="shared" si="92"/>
        <v>-858993582.18534458</v>
      </c>
      <c r="U34" s="7">
        <f t="shared" si="2"/>
        <v>5.600181177416845E+31</v>
      </c>
      <c r="V34" s="7">
        <f t="shared" si="3"/>
        <v>3.2942244894378404E+30</v>
      </c>
      <c r="X34" s="3">
        <f t="shared" si="0"/>
        <v>8701505264916.3926</v>
      </c>
      <c r="Y34" s="3">
        <f t="shared" si="1"/>
        <v>147925589503578.69</v>
      </c>
    </row>
    <row r="35" spans="1:25" x14ac:dyDescent="0.2">
      <c r="A35">
        <v>8</v>
      </c>
      <c r="B35">
        <v>46</v>
      </c>
      <c r="C35" s="3">
        <f t="shared" si="75"/>
        <v>435834641021130.25</v>
      </c>
      <c r="D35">
        <f t="shared" si="76"/>
        <v>7409188295874989</v>
      </c>
      <c r="E35">
        <f t="shared" si="77"/>
        <v>-858993582.18534458</v>
      </c>
      <c r="F35">
        <f t="shared" si="78"/>
        <v>7558427392828853</v>
      </c>
      <c r="G35">
        <f t="shared" si="79"/>
        <v>4.5130871868278542E+32</v>
      </c>
      <c r="H35" s="1">
        <f t="shared" si="80"/>
        <v>2.0367955955909754E+65</v>
      </c>
      <c r="I35" s="3">
        <f t="shared" si="81"/>
        <v>2.0367955955909754E+65</v>
      </c>
      <c r="J35" s="3">
        <f t="shared" si="82"/>
        <v>0</v>
      </c>
      <c r="K35" s="3">
        <f t="shared" si="83"/>
        <v>2.0367955955909754E+65</v>
      </c>
      <c r="L35" s="3">
        <f t="shared" si="84"/>
        <v>0</v>
      </c>
      <c r="M35">
        <f t="shared" si="85"/>
        <v>2.0367955955909754E+65</v>
      </c>
      <c r="N35">
        <f t="shared" si="86"/>
        <v>0</v>
      </c>
      <c r="O35">
        <f t="shared" si="87"/>
        <v>2.0367955955909754E+65</v>
      </c>
      <c r="P35">
        <f t="shared" si="88"/>
        <v>0</v>
      </c>
      <c r="Q35" s="3">
        <f t="shared" si="89"/>
        <v>7409188295874989</v>
      </c>
      <c r="R35" s="3">
        <f t="shared" si="90"/>
        <v>435834641021130.25</v>
      </c>
      <c r="S35" s="7">
        <f t="shared" si="91"/>
        <v>7558427392828853</v>
      </c>
      <c r="T35" s="7">
        <f t="shared" si="92"/>
        <v>-858993582.18534458</v>
      </c>
      <c r="U35" s="7">
        <f t="shared" si="2"/>
        <v>5.600181177416845E+31</v>
      </c>
      <c r="V35" s="7">
        <f t="shared" si="3"/>
        <v>3.2942244894378404E+30</v>
      </c>
      <c r="X35" s="3">
        <f t="shared" si="0"/>
        <v>9.0261743736557083E+32</v>
      </c>
      <c r="Y35" s="3">
        <f t="shared" si="1"/>
        <v>7.2209394989245667E+33</v>
      </c>
    </row>
    <row r="36" spans="1:25" x14ac:dyDescent="0.2">
      <c r="G36" t="s">
        <v>2</v>
      </c>
      <c r="H36" s="1">
        <f>SQRT(SUM(H7:H35))</f>
        <v>4.5130871868278542E+32</v>
      </c>
      <c r="X36" s="3">
        <f>SQRT(SUMSQ(X7:X35))</f>
        <v>9.0261743736557083E+32</v>
      </c>
      <c r="Y36" s="3">
        <f>SQRT(SUMSQ(Y7:Y35))</f>
        <v>7.2209394989245667E+33</v>
      </c>
    </row>
    <row r="39" spans="1:25" x14ac:dyDescent="0.2">
      <c r="C39" t="s">
        <v>20</v>
      </c>
    </row>
    <row r="40" spans="1:25" x14ac:dyDescent="0.2">
      <c r="C40" t="s">
        <v>2</v>
      </c>
    </row>
  </sheetData>
  <pageMargins left="0.7" right="0.7" top="0.75" bottom="0.75" header="0.3" footer="0.3"/>
  <pageSetup orientation="portrait" r:id="rId1"/>
  <ignoredErrors>
    <ignoredError sqref="E1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asic1.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basic1.reset">
                <anchor moveWithCells="1">
                  <from>
                    <xdr:col>0</xdr:col>
                    <xdr:colOff>0</xdr:colOff>
                    <xdr:row>0</xdr:row>
                    <xdr:rowOff>25400</xdr:rowOff>
                  </from>
                  <to>
                    <xdr:col>0</xdr:col>
                    <xdr:colOff>508000</xdr:colOff>
                    <xdr:row>1</xdr:row>
                    <xdr:rowOff>0</xdr:rowOff>
                  </to>
                </anchor>
              </controlPr>
            </control>
          </mc:Choice>
        </mc:AlternateContent>
        <mc:AlternateContent xmlns:mc="http://schemas.openxmlformats.org/markup-compatibility/2006">
          <mc:Choice Requires="x14">
            <control shapeId="67597" r:id="rId6" name="Button 13">
              <controlPr defaultSize="0" print="0" autoFill="0" autoPict="0" macro="[0]!basic1.onestep">
                <anchor moveWithCells="1" sizeWithCells="1">
                  <from>
                    <xdr:col>0</xdr:col>
                    <xdr:colOff>63500</xdr:colOff>
                    <xdr:row>2</xdr:row>
                    <xdr:rowOff>63500</xdr:rowOff>
                  </from>
                  <to>
                    <xdr:col>0</xdr:col>
                    <xdr:colOff>736600</xdr:colOff>
                    <xdr:row>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EA35-30A5-1042-9096-56EDC615766D}">
  <sheetPr codeName="basic4"/>
  <dimension ref="A1:Y115"/>
  <sheetViews>
    <sheetView topLeftCell="O1" zoomScaleNormal="100" workbookViewId="0">
      <pane ySplit="6" topLeftCell="A7" activePane="bottomLeft" state="frozen"/>
      <selection pane="bottomLeft" activeCell="D1" sqref="D1"/>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 customWidth="1"/>
    <col min="7" max="7" width="10.1640625" customWidth="1"/>
    <col min="8" max="8" width="21.33203125" customWidth="1"/>
    <col min="9" max="9" width="28.33203125" customWidth="1"/>
    <col min="10" max="10" width="15.5" customWidth="1"/>
    <col min="11" max="11" width="29.5" customWidth="1"/>
    <col min="12" max="12" width="9.5" customWidth="1"/>
    <col min="13" max="13" width="28.83203125" customWidth="1"/>
    <col min="14" max="14" width="11.83203125" bestFit="1" customWidth="1"/>
    <col min="15" max="15" width="29.33203125" customWidth="1"/>
    <col min="16" max="17" width="9.1640625" customWidth="1"/>
    <col min="18" max="18" width="11.1640625" customWidth="1"/>
    <col min="19" max="19" width="9.1640625" customWidth="1"/>
    <col min="20" max="20" width="8.164062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105</v>
      </c>
      <c r="C1">
        <v>0.96365708574645292</v>
      </c>
      <c r="D1">
        <v>1.170170621088507</v>
      </c>
      <c r="G1" t="s">
        <v>14</v>
      </c>
      <c r="H1">
        <v>1E-4</v>
      </c>
      <c r="J1" t="s">
        <v>103</v>
      </c>
      <c r="K1" s="27" t="s">
        <v>113</v>
      </c>
      <c r="L1" t="s">
        <v>119</v>
      </c>
      <c r="Y1" t="s">
        <v>4</v>
      </c>
    </row>
    <row r="2" spans="1:25" ht="17.5" customHeight="1" x14ac:dyDescent="0.2">
      <c r="B2" t="s">
        <v>104</v>
      </c>
      <c r="C2">
        <v>-5.6415540620440714</v>
      </c>
      <c r="D2">
        <v>-5.531824881142887</v>
      </c>
      <c r="J2" t="s">
        <v>102</v>
      </c>
      <c r="K2" t="s">
        <v>108</v>
      </c>
      <c r="L2" t="s">
        <v>107</v>
      </c>
      <c r="X2" t="s">
        <v>5</v>
      </c>
    </row>
    <row r="3" spans="1:25" ht="17.5" customHeight="1" x14ac:dyDescent="0.2"/>
    <row r="4" spans="1:25" ht="17.5" customHeight="1" x14ac:dyDescent="0.2">
      <c r="S4" s="31" t="s">
        <v>124</v>
      </c>
    </row>
    <row r="5" spans="1:25" ht="17.5" customHeight="1" x14ac:dyDescent="0.2">
      <c r="B5" t="s">
        <v>108</v>
      </c>
      <c r="G5" s="27" t="s">
        <v>113</v>
      </c>
      <c r="H5" t="s">
        <v>114</v>
      </c>
      <c r="I5" t="s">
        <v>115</v>
      </c>
      <c r="K5" t="s">
        <v>116</v>
      </c>
      <c r="M5" t="s">
        <v>117</v>
      </c>
      <c r="O5" t="s">
        <v>118</v>
      </c>
      <c r="U5" t="s">
        <v>111</v>
      </c>
      <c r="V5" t="s">
        <v>112</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X6" s="2" t="s">
        <v>6</v>
      </c>
      <c r="Y6" s="2" t="s">
        <v>9</v>
      </c>
    </row>
    <row r="7" spans="1:25" x14ac:dyDescent="0.2">
      <c r="A7">
        <v>14</v>
      </c>
      <c r="B7">
        <v>58</v>
      </c>
      <c r="C7">
        <f>C1</f>
        <v>0.96365708574645292</v>
      </c>
      <c r="D7">
        <f>C2</f>
        <v>-5.6415540620440714</v>
      </c>
      <c r="E7">
        <f>const2</f>
        <v>1.170170621088507</v>
      </c>
      <c r="F7">
        <f>slope2</f>
        <v>-5.531824881142887</v>
      </c>
      <c r="G7">
        <f>MAX(0, (D7*A7+C7))*F7+E7</f>
        <v>1.170170621088507</v>
      </c>
      <c r="H7" s="1">
        <f>(B7-G7)^2</f>
        <v>3229.6295072361918</v>
      </c>
      <c r="I7" s="3">
        <f>(MAX(0, (D7*A7+(C7+0.01)))*F7+E7-B7)^2</f>
        <v>3229.6295072361918</v>
      </c>
      <c r="J7" s="3">
        <f>(I7-H7)/0.01</f>
        <v>0</v>
      </c>
      <c r="K7" s="3">
        <f>(MAX(0, ((D7+0.01)*A7+C7))*F7+E7-B7)^2</f>
        <v>3229.6295072361918</v>
      </c>
      <c r="L7" s="3">
        <f>(K7-H7)/0.01</f>
        <v>0</v>
      </c>
      <c r="M7">
        <f>(MAX(0, (D7*A7+C7))*F7+(E7+0.01)-B7)^2</f>
        <v>3228.4930106486136</v>
      </c>
      <c r="N7">
        <f>(M7-H7)/0.01</f>
        <v>-113.64965875782218</v>
      </c>
      <c r="O7">
        <f>(MAX(0, (D7*A7+C7))*(F7+0.01)+E7-B7)^2</f>
        <v>3229.6295072361918</v>
      </c>
      <c r="P7">
        <f>(O7-H7)/0.01</f>
        <v>0</v>
      </c>
      <c r="Q7" s="3">
        <f>D7-L7*$H$1</f>
        <v>-5.6415540620440714</v>
      </c>
      <c r="R7" s="3">
        <f>C7-J7*$H$1</f>
        <v>0.96365708574645292</v>
      </c>
      <c r="S7" s="7">
        <f>F7-P7*$H$1</f>
        <v>-5.531824881142887</v>
      </c>
      <c r="T7" s="7">
        <f>E7-N7*$H$1</f>
        <v>1.1815355869642892</v>
      </c>
      <c r="U7" s="7">
        <f>Q7*S7</f>
        <v>31.208089128728115</v>
      </c>
      <c r="V7" s="7">
        <f>S7*R7+T7</f>
        <v>-4.1492466568575841</v>
      </c>
      <c r="X7" s="3">
        <f t="shared" ref="X7:X35" si="0">2*(G7-B7)</f>
        <v>-113.65965875782298</v>
      </c>
      <c r="Y7" s="3">
        <f t="shared" ref="Y7:Y35" si="1">X7*A7</f>
        <v>-1591.2352226095218</v>
      </c>
    </row>
    <row r="8" spans="1:25" x14ac:dyDescent="0.2">
      <c r="A8">
        <v>86</v>
      </c>
      <c r="B8">
        <v>202</v>
      </c>
      <c r="C8" s="3">
        <f>R7</f>
        <v>0.96365708574645292</v>
      </c>
      <c r="D8">
        <f>Q7</f>
        <v>-5.6415540620440714</v>
      </c>
      <c r="E8">
        <f>T7</f>
        <v>1.1815355869642892</v>
      </c>
      <c r="F8">
        <f>S7</f>
        <v>-5.531824881142887</v>
      </c>
      <c r="G8">
        <f t="shared" ref="G8:G35" si="2">MAX(0, (D8*A8+C8))*F8+E8</f>
        <v>1.1815355869642892</v>
      </c>
      <c r="H8" s="1">
        <f>(B8-G8)^2</f>
        <v>40328.055649209688</v>
      </c>
      <c r="I8" s="3">
        <f t="shared" ref="I8:I35" si="3">(MAX(0, (D8*A8+(C8+0.01)))*F8+E8-B8)^2</f>
        <v>40328.055649209688</v>
      </c>
      <c r="J8" s="3">
        <f>(I8-H8)/0.01</f>
        <v>0</v>
      </c>
      <c r="K8" s="3">
        <f t="shared" ref="K8:K35" si="4">(MAX(0, ((D8+0.01)*A8+C8))*F8+E8-B8)^2</f>
        <v>40328.055649209688</v>
      </c>
      <c r="L8" s="3">
        <f>(K8-H8)/0.01</f>
        <v>0</v>
      </c>
      <c r="M8">
        <f t="shared" ref="M8:M35" si="5">(MAX(0, (D8*A8+C8))*F8+(E8+0.01)-B8)^2</f>
        <v>40324.039379921436</v>
      </c>
      <c r="N8">
        <f>(M8-H8)/0.01</f>
        <v>-401.62692882513511</v>
      </c>
      <c r="O8">
        <f t="shared" ref="O8:O35" si="6">(MAX(0, (D8*A8+C8))*(F8+0.01)+E8-B8)^2</f>
        <v>40328.055649209688</v>
      </c>
      <c r="P8">
        <f>(O8-H8)/0.01</f>
        <v>0</v>
      </c>
      <c r="Q8" s="3">
        <f>D8-L8*$H$1</f>
        <v>-5.6415540620440714</v>
      </c>
      <c r="R8" s="3">
        <f>C8-J8*$H$1</f>
        <v>0.96365708574645292</v>
      </c>
      <c r="S8" s="7">
        <f>F8-P8*$H$1</f>
        <v>-5.531824881142887</v>
      </c>
      <c r="T8" s="7">
        <f>E8-N8*$H$1</f>
        <v>1.2216982798468028</v>
      </c>
      <c r="U8" s="7">
        <f t="shared" ref="U8:U35" si="7">Q8*S8</f>
        <v>31.208089128728115</v>
      </c>
      <c r="V8" s="7">
        <f t="shared" ref="V8:V35" si="8">S8*R8+T8</f>
        <v>-4.1090839639750705</v>
      </c>
      <c r="X8" s="3">
        <f t="shared" si="0"/>
        <v>-401.63692882607143</v>
      </c>
      <c r="Y8" s="3">
        <f t="shared" si="1"/>
        <v>-34540.775879042143</v>
      </c>
    </row>
    <row r="9" spans="1:25" x14ac:dyDescent="0.2">
      <c r="A9">
        <v>28</v>
      </c>
      <c r="B9">
        <v>86</v>
      </c>
      <c r="C9" s="3">
        <f t="shared" ref="C9:C35" si="9">R8</f>
        <v>0.96365708574645292</v>
      </c>
      <c r="D9">
        <f t="shared" ref="D9:D10" si="10">Q8</f>
        <v>-5.6415540620440714</v>
      </c>
      <c r="E9">
        <f t="shared" ref="E9:E10" si="11">T8</f>
        <v>1.2216982798468028</v>
      </c>
      <c r="F9">
        <f t="shared" ref="F9:F10" si="12">S8</f>
        <v>-5.531824881142887</v>
      </c>
      <c r="G9">
        <f t="shared" si="2"/>
        <v>1.2216982798468028</v>
      </c>
      <c r="H9" s="1">
        <f t="shared" ref="H9:H10" si="13">(B9-G9)^2</f>
        <v>7187.3604425533304</v>
      </c>
      <c r="I9" s="3">
        <f t="shared" si="3"/>
        <v>7187.3604425533304</v>
      </c>
      <c r="J9" s="3">
        <f t="shared" ref="J9:J10" si="14">(I9-H9)/0.01</f>
        <v>0</v>
      </c>
      <c r="K9" s="3">
        <f t="shared" si="4"/>
        <v>7187.3604425533304</v>
      </c>
      <c r="L9" s="3">
        <f t="shared" ref="L9:L10" si="15">(K9-H9)/0.01</f>
        <v>0</v>
      </c>
      <c r="M9">
        <f t="shared" si="5"/>
        <v>7185.6649765189286</v>
      </c>
      <c r="N9">
        <f t="shared" ref="N9:N10" si="16">(M9-H9)/0.01</f>
        <v>-169.54660344017611</v>
      </c>
      <c r="O9">
        <f t="shared" si="6"/>
        <v>7187.3604425533304</v>
      </c>
      <c r="P9">
        <f t="shared" ref="P9:P10" si="17">(O9-H9)/0.01</f>
        <v>0</v>
      </c>
      <c r="Q9" s="3">
        <f t="shared" ref="Q9:Q10" si="18">D9-L9*$H$1</f>
        <v>-5.6415540620440714</v>
      </c>
      <c r="R9" s="3">
        <f t="shared" ref="R9:R10" si="19">C9-J9*$H$1</f>
        <v>0.96365708574645292</v>
      </c>
      <c r="S9" s="7">
        <f t="shared" ref="S9:S10" si="20">F9-P9*$H$1</f>
        <v>-5.531824881142887</v>
      </c>
      <c r="T9" s="7">
        <f t="shared" ref="T9:T10" si="21">E9-N9*$H$1</f>
        <v>1.2386529401908204</v>
      </c>
      <c r="U9" s="7">
        <f t="shared" si="7"/>
        <v>31.208089128728115</v>
      </c>
      <c r="V9" s="7">
        <f t="shared" si="8"/>
        <v>-4.0921293036310527</v>
      </c>
      <c r="X9" s="3">
        <f t="shared" si="0"/>
        <v>-169.55660344030639</v>
      </c>
      <c r="Y9" s="3">
        <f t="shared" si="1"/>
        <v>-4747.5848963285789</v>
      </c>
    </row>
    <row r="10" spans="1:25" x14ac:dyDescent="0.2">
      <c r="A10">
        <v>51</v>
      </c>
      <c r="B10">
        <v>132</v>
      </c>
      <c r="C10" s="3">
        <f t="shared" si="9"/>
        <v>0.96365708574645292</v>
      </c>
      <c r="D10">
        <f t="shared" si="10"/>
        <v>-5.6415540620440714</v>
      </c>
      <c r="E10">
        <f t="shared" si="11"/>
        <v>1.2386529401908204</v>
      </c>
      <c r="F10">
        <f t="shared" si="12"/>
        <v>-5.531824881142887</v>
      </c>
      <c r="G10">
        <f t="shared" si="2"/>
        <v>1.2386529401908204</v>
      </c>
      <c r="H10" s="1">
        <f t="shared" si="13"/>
        <v>17098.529884895863</v>
      </c>
      <c r="I10" s="3">
        <f t="shared" si="3"/>
        <v>17098.529884895863</v>
      </c>
      <c r="J10" s="3">
        <f t="shared" si="14"/>
        <v>0</v>
      </c>
      <c r="K10" s="3">
        <f t="shared" si="4"/>
        <v>17098.529884895863</v>
      </c>
      <c r="L10" s="3">
        <f t="shared" si="15"/>
        <v>0</v>
      </c>
      <c r="M10">
        <f t="shared" si="5"/>
        <v>17095.91475795467</v>
      </c>
      <c r="N10">
        <f t="shared" si="16"/>
        <v>-261.51269411930116</v>
      </c>
      <c r="O10">
        <f t="shared" si="6"/>
        <v>17098.529884895863</v>
      </c>
      <c r="P10">
        <f t="shared" si="17"/>
        <v>0</v>
      </c>
      <c r="Q10" s="3">
        <f t="shared" si="18"/>
        <v>-5.6415540620440714</v>
      </c>
      <c r="R10" s="3">
        <f t="shared" si="19"/>
        <v>0.96365708574645292</v>
      </c>
      <c r="S10" s="7">
        <f t="shared" si="20"/>
        <v>-5.531824881142887</v>
      </c>
      <c r="T10" s="7">
        <f t="shared" si="21"/>
        <v>1.2648042096027505</v>
      </c>
      <c r="U10" s="7">
        <f t="shared" si="7"/>
        <v>31.208089128728115</v>
      </c>
      <c r="V10" s="7">
        <f t="shared" si="8"/>
        <v>-4.065978034219123</v>
      </c>
      <c r="X10" s="3">
        <f t="shared" si="0"/>
        <v>-261.52269411961834</v>
      </c>
      <c r="Y10" s="3">
        <f t="shared" si="1"/>
        <v>-13337.657400100536</v>
      </c>
    </row>
    <row r="11" spans="1:25" x14ac:dyDescent="0.2">
      <c r="A11">
        <v>28</v>
      </c>
      <c r="B11">
        <v>86</v>
      </c>
      <c r="C11" s="3">
        <f t="shared" si="9"/>
        <v>0.96365708574645292</v>
      </c>
      <c r="D11">
        <f>Q10</f>
        <v>-5.6415540620440714</v>
      </c>
      <c r="E11">
        <f>T10</f>
        <v>1.2648042096027505</v>
      </c>
      <c r="F11">
        <f>S10</f>
        <v>-5.531824881142887</v>
      </c>
      <c r="G11">
        <f t="shared" si="2"/>
        <v>1.2648042096027505</v>
      </c>
      <c r="H11" s="1">
        <f>(B11-G11)^2</f>
        <v>7180.053405636957</v>
      </c>
      <c r="I11" s="3">
        <f t="shared" si="3"/>
        <v>7180.053405636957</v>
      </c>
      <c r="J11" s="3">
        <f>(I11-H11)/0.01</f>
        <v>0</v>
      </c>
      <c r="K11" s="3">
        <f t="shared" si="4"/>
        <v>7180.053405636957</v>
      </c>
      <c r="L11" s="3">
        <f>(K11-H11)/0.01</f>
        <v>0</v>
      </c>
      <c r="M11">
        <f t="shared" si="5"/>
        <v>7178.3588017211478</v>
      </c>
      <c r="N11">
        <f>(M11-H11)/0.01</f>
        <v>-169.4603915809239</v>
      </c>
      <c r="O11">
        <f t="shared" si="6"/>
        <v>7180.053405636957</v>
      </c>
      <c r="P11">
        <f>(O11-H11)/0.01</f>
        <v>0</v>
      </c>
      <c r="Q11" s="3">
        <f>D11-L11*$H$1</f>
        <v>-5.6415540620440714</v>
      </c>
      <c r="R11" s="3">
        <f>C11-J11*$H$1</f>
        <v>0.96365708574645292</v>
      </c>
      <c r="S11" s="7">
        <f>F11-P11*$H$1</f>
        <v>-5.531824881142887</v>
      </c>
      <c r="T11" s="7">
        <f>E11-N11*$H$1</f>
        <v>1.281750248760843</v>
      </c>
      <c r="U11" s="7">
        <f t="shared" si="7"/>
        <v>31.208089128728115</v>
      </c>
      <c r="V11" s="7">
        <f t="shared" si="8"/>
        <v>-4.0490319950610303</v>
      </c>
      <c r="X11" s="3">
        <f t="shared" si="0"/>
        <v>-169.47039158079451</v>
      </c>
      <c r="Y11" s="3">
        <f t="shared" si="1"/>
        <v>-4745.1709642622463</v>
      </c>
    </row>
    <row r="12" spans="1:25" x14ac:dyDescent="0.2">
      <c r="A12">
        <v>29</v>
      </c>
      <c r="B12">
        <v>88</v>
      </c>
      <c r="C12" s="3">
        <f t="shared" si="9"/>
        <v>0.96365708574645292</v>
      </c>
      <c r="D12">
        <f t="shared" ref="D12:D35" si="22">Q11</f>
        <v>-5.6415540620440714</v>
      </c>
      <c r="E12">
        <f t="shared" ref="E12:E35" si="23">T11</f>
        <v>1.281750248760843</v>
      </c>
      <c r="F12">
        <f t="shared" ref="F12:F35" si="24">S11</f>
        <v>-5.531824881142887</v>
      </c>
      <c r="G12">
        <f t="shared" si="2"/>
        <v>1.281750248760843</v>
      </c>
      <c r="H12" s="1">
        <f t="shared" ref="H12:H35" si="25">(B12-G12)^2</f>
        <v>7520.0548399182899</v>
      </c>
      <c r="I12" s="3">
        <f t="shared" si="3"/>
        <v>7520.0548399182899</v>
      </c>
      <c r="J12" s="3">
        <f t="shared" ref="J12:J35" si="26">(I12-H12)/0.01</f>
        <v>0</v>
      </c>
      <c r="K12" s="3">
        <f t="shared" si="4"/>
        <v>7520.0548399182899</v>
      </c>
      <c r="L12" s="3">
        <f t="shared" ref="L12:L35" si="27">(K12-H12)/0.01</f>
        <v>0</v>
      </c>
      <c r="M12">
        <f t="shared" si="5"/>
        <v>7518.3205749232648</v>
      </c>
      <c r="N12">
        <f t="shared" ref="N12:N35" si="28">(M12-H12)/0.01</f>
        <v>-173.42649950251143</v>
      </c>
      <c r="O12">
        <f t="shared" si="6"/>
        <v>7520.0548399182899</v>
      </c>
      <c r="P12">
        <f t="shared" ref="P12:P35" si="29">(O12-H12)/0.01</f>
        <v>0</v>
      </c>
      <c r="Q12" s="3">
        <f t="shared" ref="Q12:Q35" si="30">D12-L12*$H$1</f>
        <v>-5.6415540620440714</v>
      </c>
      <c r="R12" s="3">
        <f t="shared" ref="R12:R35" si="31">C12-J12*$H$1</f>
        <v>0.96365708574645292</v>
      </c>
      <c r="S12" s="7">
        <f t="shared" ref="S12:S35" si="32">F12-P12*$H$1</f>
        <v>-5.531824881142887</v>
      </c>
      <c r="T12" s="7">
        <f t="shared" ref="T12:T35" si="33">E12-N12*$H$1</f>
        <v>1.2990928987110941</v>
      </c>
      <c r="U12" s="7">
        <f t="shared" si="7"/>
        <v>31.208089128728115</v>
      </c>
      <c r="V12" s="7">
        <f t="shared" si="8"/>
        <v>-4.0316893451107791</v>
      </c>
      <c r="X12" s="3">
        <f t="shared" si="0"/>
        <v>-173.43649950247831</v>
      </c>
      <c r="Y12" s="3">
        <f t="shared" si="1"/>
        <v>-5029.6584855718711</v>
      </c>
    </row>
    <row r="13" spans="1:25" x14ac:dyDescent="0.2">
      <c r="A13">
        <v>72</v>
      </c>
      <c r="B13">
        <v>174</v>
      </c>
      <c r="C13" s="3">
        <f t="shared" si="9"/>
        <v>0.96365708574645292</v>
      </c>
      <c r="D13">
        <f t="shared" si="22"/>
        <v>-5.6415540620440714</v>
      </c>
      <c r="E13">
        <f t="shared" si="23"/>
        <v>1.2990928987110941</v>
      </c>
      <c r="F13">
        <f t="shared" si="24"/>
        <v>-5.531824881142887</v>
      </c>
      <c r="G13">
        <f t="shared" si="2"/>
        <v>1.2990928987110941</v>
      </c>
      <c r="H13" s="1">
        <f t="shared" si="25"/>
        <v>29825.603313608026</v>
      </c>
      <c r="I13" s="3">
        <f t="shared" si="3"/>
        <v>29825.603313608026</v>
      </c>
      <c r="J13" s="3">
        <f t="shared" si="26"/>
        <v>0</v>
      </c>
      <c r="K13" s="3">
        <f t="shared" si="4"/>
        <v>29825.603313608026</v>
      </c>
      <c r="L13" s="3">
        <f t="shared" si="27"/>
        <v>0</v>
      </c>
      <c r="M13">
        <f t="shared" si="5"/>
        <v>29822.149395465993</v>
      </c>
      <c r="N13">
        <f t="shared" si="28"/>
        <v>-345.3918142033217</v>
      </c>
      <c r="O13">
        <f t="shared" si="6"/>
        <v>29825.603313608026</v>
      </c>
      <c r="P13">
        <f t="shared" si="29"/>
        <v>0</v>
      </c>
      <c r="Q13" s="3">
        <f t="shared" si="30"/>
        <v>-5.6415540620440714</v>
      </c>
      <c r="R13" s="3">
        <f t="shared" si="31"/>
        <v>0.96365708574645292</v>
      </c>
      <c r="S13" s="7">
        <f t="shared" si="32"/>
        <v>-5.531824881142887</v>
      </c>
      <c r="T13" s="7">
        <f t="shared" si="33"/>
        <v>1.3336320801314263</v>
      </c>
      <c r="U13" s="7">
        <f t="shared" si="7"/>
        <v>31.208089128728115</v>
      </c>
      <c r="V13" s="7">
        <f t="shared" si="8"/>
        <v>-3.9971501636904465</v>
      </c>
      <c r="X13" s="3">
        <f t="shared" si="0"/>
        <v>-345.40181420257784</v>
      </c>
      <c r="Y13" s="3">
        <f t="shared" si="1"/>
        <v>-24868.930622585605</v>
      </c>
    </row>
    <row r="14" spans="1:25" x14ac:dyDescent="0.2">
      <c r="A14">
        <v>62</v>
      </c>
      <c r="B14">
        <v>154</v>
      </c>
      <c r="C14" s="3">
        <f t="shared" si="9"/>
        <v>0.96365708574645292</v>
      </c>
      <c r="D14">
        <f t="shared" si="22"/>
        <v>-5.6415540620440714</v>
      </c>
      <c r="E14">
        <f t="shared" si="23"/>
        <v>1.3336320801314263</v>
      </c>
      <c r="F14">
        <f t="shared" si="24"/>
        <v>-5.531824881142887</v>
      </c>
      <c r="G14">
        <f t="shared" si="2"/>
        <v>1.3336320801314263</v>
      </c>
      <c r="H14" s="1">
        <f t="shared" si="25"/>
        <v>23307.019893844677</v>
      </c>
      <c r="I14" s="3">
        <f t="shared" si="3"/>
        <v>23307.019893844677</v>
      </c>
      <c r="J14" s="3">
        <f t="shared" si="26"/>
        <v>0</v>
      </c>
      <c r="K14" s="3">
        <f t="shared" si="4"/>
        <v>23307.019893844677</v>
      </c>
      <c r="L14" s="3">
        <f t="shared" si="27"/>
        <v>0</v>
      </c>
      <c r="M14">
        <f t="shared" si="5"/>
        <v>23303.966666486282</v>
      </c>
      <c r="N14">
        <f t="shared" si="28"/>
        <v>-305.32273583958158</v>
      </c>
      <c r="O14">
        <f t="shared" si="6"/>
        <v>23307.019893844677</v>
      </c>
      <c r="P14">
        <f t="shared" si="29"/>
        <v>0</v>
      </c>
      <c r="Q14" s="3">
        <f t="shared" si="30"/>
        <v>-5.6415540620440714</v>
      </c>
      <c r="R14" s="3">
        <f t="shared" si="31"/>
        <v>0.96365708574645292</v>
      </c>
      <c r="S14" s="7">
        <f t="shared" si="32"/>
        <v>-5.531824881142887</v>
      </c>
      <c r="T14" s="7">
        <f t="shared" si="33"/>
        <v>1.3641643537153845</v>
      </c>
      <c r="U14" s="7">
        <f t="shared" si="7"/>
        <v>31.208089128728115</v>
      </c>
      <c r="V14" s="7">
        <f t="shared" si="8"/>
        <v>-3.9666178901064884</v>
      </c>
      <c r="X14" s="3">
        <f t="shared" si="0"/>
        <v>-305.33273583973715</v>
      </c>
      <c r="Y14" s="3">
        <f t="shared" si="1"/>
        <v>-18930.629622063705</v>
      </c>
    </row>
    <row r="15" spans="1:25" x14ac:dyDescent="0.2">
      <c r="A15">
        <v>84</v>
      </c>
      <c r="B15">
        <v>198</v>
      </c>
      <c r="C15" s="3">
        <f>R14</f>
        <v>0.96365708574645292</v>
      </c>
      <c r="D15">
        <f>Q14</f>
        <v>-5.6415540620440714</v>
      </c>
      <c r="E15">
        <f>T14</f>
        <v>1.3641643537153845</v>
      </c>
      <c r="F15">
        <f>S14</f>
        <v>-5.531824881142887</v>
      </c>
      <c r="G15">
        <f t="shared" si="2"/>
        <v>1.3641643537153845</v>
      </c>
      <c r="H15" s="1">
        <f t="shared" si="25"/>
        <v>38665.651860312653</v>
      </c>
      <c r="I15" s="3">
        <f t="shared" si="3"/>
        <v>38665.651860312653</v>
      </c>
      <c r="J15" s="3">
        <f t="shared" si="26"/>
        <v>0</v>
      </c>
      <c r="K15" s="3">
        <f t="shared" si="4"/>
        <v>38665.651860312653</v>
      </c>
      <c r="L15" s="3">
        <f t="shared" si="27"/>
        <v>0</v>
      </c>
      <c r="M15">
        <f t="shared" si="5"/>
        <v>38661.719243599735</v>
      </c>
      <c r="N15">
        <f t="shared" si="28"/>
        <v>-393.26167129183887</v>
      </c>
      <c r="O15">
        <f t="shared" si="6"/>
        <v>38665.651860312653</v>
      </c>
      <c r="P15">
        <f t="shared" si="29"/>
        <v>0</v>
      </c>
      <c r="Q15" s="3">
        <f t="shared" si="30"/>
        <v>-5.6415540620440714</v>
      </c>
      <c r="R15" s="3">
        <f t="shared" si="31"/>
        <v>0.96365708574645292</v>
      </c>
      <c r="S15" s="7">
        <f t="shared" si="32"/>
        <v>-5.531824881142887</v>
      </c>
      <c r="T15" s="7">
        <f t="shared" si="33"/>
        <v>1.4034905208445683</v>
      </c>
      <c r="U15" s="7">
        <f t="shared" si="7"/>
        <v>31.208089128728115</v>
      </c>
      <c r="V15" s="7">
        <f t="shared" si="8"/>
        <v>-3.927291722977305</v>
      </c>
      <c r="X15" s="3">
        <f t="shared" si="0"/>
        <v>-393.27167129256924</v>
      </c>
      <c r="Y15" s="3">
        <f t="shared" si="1"/>
        <v>-33034.820388575819</v>
      </c>
    </row>
    <row r="16" spans="1:25" x14ac:dyDescent="0.2">
      <c r="A16">
        <v>15</v>
      </c>
      <c r="B16">
        <v>60</v>
      </c>
      <c r="C16" s="3">
        <f t="shared" si="9"/>
        <v>0.96365708574645292</v>
      </c>
      <c r="D16">
        <f t="shared" si="22"/>
        <v>-5.6415540620440714</v>
      </c>
      <c r="E16">
        <f t="shared" si="23"/>
        <v>1.4034905208445683</v>
      </c>
      <c r="F16">
        <f t="shared" si="24"/>
        <v>-5.531824881142887</v>
      </c>
      <c r="G16">
        <f t="shared" si="2"/>
        <v>1.4034905208445683</v>
      </c>
      <c r="H16" s="1">
        <f t="shared" si="25"/>
        <v>3433.5509231407523</v>
      </c>
      <c r="I16" s="3">
        <f t="shared" si="3"/>
        <v>3433.5509231407523</v>
      </c>
      <c r="J16" s="3">
        <f t="shared" si="26"/>
        <v>0</v>
      </c>
      <c r="K16" s="3">
        <f t="shared" si="4"/>
        <v>3433.5509231407523</v>
      </c>
      <c r="L16" s="3">
        <f t="shared" si="27"/>
        <v>0</v>
      </c>
      <c r="M16">
        <f t="shared" si="5"/>
        <v>3432.3790929511692</v>
      </c>
      <c r="N16">
        <f t="shared" si="28"/>
        <v>-117.18301895830336</v>
      </c>
      <c r="O16">
        <f t="shared" si="6"/>
        <v>3433.5509231407523</v>
      </c>
      <c r="P16">
        <f t="shared" si="29"/>
        <v>0</v>
      </c>
      <c r="Q16" s="3">
        <f t="shared" si="30"/>
        <v>-5.6415540620440714</v>
      </c>
      <c r="R16" s="3">
        <f t="shared" si="31"/>
        <v>0.96365708574645292</v>
      </c>
      <c r="S16" s="7">
        <f t="shared" si="32"/>
        <v>-5.531824881142887</v>
      </c>
      <c r="T16" s="7">
        <f t="shared" si="33"/>
        <v>1.4152088227403985</v>
      </c>
      <c r="U16" s="7">
        <f t="shared" si="7"/>
        <v>31.208089128728115</v>
      </c>
      <c r="V16" s="7">
        <f t="shared" si="8"/>
        <v>-3.9155734210814748</v>
      </c>
      <c r="X16" s="3">
        <f t="shared" si="0"/>
        <v>-117.19301895831086</v>
      </c>
      <c r="Y16" s="3">
        <f t="shared" si="1"/>
        <v>-1757.8952843746629</v>
      </c>
    </row>
    <row r="17" spans="1:25" x14ac:dyDescent="0.2">
      <c r="A17">
        <v>42</v>
      </c>
      <c r="B17">
        <v>114</v>
      </c>
      <c r="C17" s="3">
        <f t="shared" si="9"/>
        <v>0.96365708574645292</v>
      </c>
      <c r="D17">
        <f t="shared" si="22"/>
        <v>-5.6415540620440714</v>
      </c>
      <c r="E17">
        <f t="shared" si="23"/>
        <v>1.4152088227403985</v>
      </c>
      <c r="F17">
        <f t="shared" si="24"/>
        <v>-5.531824881142887</v>
      </c>
      <c r="G17">
        <f t="shared" si="2"/>
        <v>1.4152088227403985</v>
      </c>
      <c r="H17" s="1">
        <f t="shared" si="25"/>
        <v>12675.335204427152</v>
      </c>
      <c r="I17" s="3">
        <f t="shared" si="3"/>
        <v>12675.335204427152</v>
      </c>
      <c r="J17" s="3">
        <f t="shared" si="26"/>
        <v>0</v>
      </c>
      <c r="K17" s="3">
        <f t="shared" si="4"/>
        <v>12675.335204427152</v>
      </c>
      <c r="L17" s="3">
        <f t="shared" si="27"/>
        <v>0</v>
      </c>
      <c r="M17">
        <f t="shared" si="5"/>
        <v>12673.083608603605</v>
      </c>
      <c r="N17">
        <f t="shared" si="28"/>
        <v>-225.15958235471771</v>
      </c>
      <c r="O17">
        <f t="shared" si="6"/>
        <v>12675.335204427152</v>
      </c>
      <c r="P17">
        <f t="shared" si="29"/>
        <v>0</v>
      </c>
      <c r="Q17" s="3">
        <f t="shared" si="30"/>
        <v>-5.6415540620440714</v>
      </c>
      <c r="R17" s="3">
        <f t="shared" si="31"/>
        <v>0.96365708574645292</v>
      </c>
      <c r="S17" s="7">
        <f t="shared" si="32"/>
        <v>-5.531824881142887</v>
      </c>
      <c r="T17" s="7">
        <f t="shared" si="33"/>
        <v>1.4377247809758702</v>
      </c>
      <c r="U17" s="7">
        <f t="shared" si="7"/>
        <v>31.208089128728115</v>
      </c>
      <c r="V17" s="7">
        <f t="shared" si="8"/>
        <v>-3.8930574628460031</v>
      </c>
      <c r="X17" s="3">
        <f t="shared" si="0"/>
        <v>-225.16958235451921</v>
      </c>
      <c r="Y17" s="3">
        <f t="shared" si="1"/>
        <v>-9457.1224588898076</v>
      </c>
    </row>
    <row r="18" spans="1:25" x14ac:dyDescent="0.2">
      <c r="A18">
        <v>62</v>
      </c>
      <c r="B18">
        <v>154</v>
      </c>
      <c r="C18" s="3">
        <f t="shared" si="9"/>
        <v>0.96365708574645292</v>
      </c>
      <c r="D18">
        <f t="shared" si="22"/>
        <v>-5.6415540620440714</v>
      </c>
      <c r="E18">
        <f t="shared" si="23"/>
        <v>1.4377247809758702</v>
      </c>
      <c r="F18">
        <f t="shared" si="24"/>
        <v>-5.531824881142887</v>
      </c>
      <c r="G18">
        <f t="shared" si="2"/>
        <v>1.4377247809758702</v>
      </c>
      <c r="H18" s="1">
        <f t="shared" si="25"/>
        <v>23275.247820005261</v>
      </c>
      <c r="I18" s="3">
        <f t="shared" si="3"/>
        <v>23275.247820005261</v>
      </c>
      <c r="J18" s="3">
        <f t="shared" si="26"/>
        <v>0</v>
      </c>
      <c r="K18" s="3">
        <f t="shared" si="4"/>
        <v>23275.247820005261</v>
      </c>
      <c r="L18" s="3">
        <f t="shared" si="27"/>
        <v>0</v>
      </c>
      <c r="M18">
        <f t="shared" si="5"/>
        <v>23272.196674500883</v>
      </c>
      <c r="N18">
        <f t="shared" si="28"/>
        <v>-305.11455043779279</v>
      </c>
      <c r="O18">
        <f t="shared" si="6"/>
        <v>23275.247820005261</v>
      </c>
      <c r="P18">
        <f t="shared" si="29"/>
        <v>0</v>
      </c>
      <c r="Q18" s="3">
        <f t="shared" si="30"/>
        <v>-5.6415540620440714</v>
      </c>
      <c r="R18" s="3">
        <f t="shared" si="31"/>
        <v>0.96365708574645292</v>
      </c>
      <c r="S18" s="7">
        <f t="shared" si="32"/>
        <v>-5.531824881142887</v>
      </c>
      <c r="T18" s="7">
        <f t="shared" si="33"/>
        <v>1.4682362360196495</v>
      </c>
      <c r="U18" s="7">
        <f t="shared" si="7"/>
        <v>31.208089128728115</v>
      </c>
      <c r="V18" s="7">
        <f t="shared" si="8"/>
        <v>-3.8625460078022238</v>
      </c>
      <c r="X18" s="3">
        <f t="shared" si="0"/>
        <v>-305.12455043804823</v>
      </c>
      <c r="Y18" s="3">
        <f t="shared" si="1"/>
        <v>-18917.722127158991</v>
      </c>
    </row>
    <row r="19" spans="1:25" x14ac:dyDescent="0.2">
      <c r="A19">
        <v>47</v>
      </c>
      <c r="B19">
        <v>124</v>
      </c>
      <c r="C19" s="3">
        <f t="shared" si="9"/>
        <v>0.96365708574645292</v>
      </c>
      <c r="D19">
        <f t="shared" si="22"/>
        <v>-5.6415540620440714</v>
      </c>
      <c r="E19">
        <f t="shared" si="23"/>
        <v>1.4682362360196495</v>
      </c>
      <c r="F19">
        <f t="shared" si="24"/>
        <v>-5.531824881142887</v>
      </c>
      <c r="G19">
        <f t="shared" si="2"/>
        <v>1.4682362360196495</v>
      </c>
      <c r="H19" s="1">
        <f t="shared" si="25"/>
        <v>15014.033131111888</v>
      </c>
      <c r="I19" s="3">
        <f t="shared" si="3"/>
        <v>15014.033131111888</v>
      </c>
      <c r="J19" s="3">
        <f t="shared" si="26"/>
        <v>0</v>
      </c>
      <c r="K19" s="3">
        <f t="shared" si="4"/>
        <v>15014.033131111888</v>
      </c>
      <c r="L19" s="3">
        <f t="shared" si="27"/>
        <v>0</v>
      </c>
      <c r="M19">
        <f t="shared" si="5"/>
        <v>15011.582595836608</v>
      </c>
      <c r="N19">
        <f t="shared" si="28"/>
        <v>-245.05352752803446</v>
      </c>
      <c r="O19">
        <f t="shared" si="6"/>
        <v>15014.033131111888</v>
      </c>
      <c r="P19">
        <f t="shared" si="29"/>
        <v>0</v>
      </c>
      <c r="Q19" s="3">
        <f t="shared" si="30"/>
        <v>-5.6415540620440714</v>
      </c>
      <c r="R19" s="3">
        <f t="shared" si="31"/>
        <v>0.96365708574645292</v>
      </c>
      <c r="S19" s="7">
        <f t="shared" si="32"/>
        <v>-5.531824881142887</v>
      </c>
      <c r="T19" s="7">
        <f t="shared" si="33"/>
        <v>1.4927415887724529</v>
      </c>
      <c r="U19" s="7">
        <f t="shared" si="7"/>
        <v>31.208089128728115</v>
      </c>
      <c r="V19" s="7">
        <f t="shared" si="8"/>
        <v>-3.8380406550494204</v>
      </c>
      <c r="X19" s="3">
        <f t="shared" si="0"/>
        <v>-245.0635275279607</v>
      </c>
      <c r="Y19" s="3">
        <f t="shared" si="1"/>
        <v>-11517.985793814152</v>
      </c>
    </row>
    <row r="20" spans="1:25" x14ac:dyDescent="0.2">
      <c r="A20">
        <v>35</v>
      </c>
      <c r="B20">
        <v>100</v>
      </c>
      <c r="C20" s="3">
        <f t="shared" si="9"/>
        <v>0.96365708574645292</v>
      </c>
      <c r="D20">
        <f t="shared" si="22"/>
        <v>-5.6415540620440714</v>
      </c>
      <c r="E20">
        <f t="shared" si="23"/>
        <v>1.4927415887724529</v>
      </c>
      <c r="F20">
        <f t="shared" si="24"/>
        <v>-5.531824881142887</v>
      </c>
      <c r="G20">
        <f t="shared" si="2"/>
        <v>1.4927415887724529</v>
      </c>
      <c r="H20" s="1">
        <f t="shared" si="25"/>
        <v>9703.679959696361</v>
      </c>
      <c r="I20" s="3">
        <f t="shared" si="3"/>
        <v>9703.679959696361</v>
      </c>
      <c r="J20" s="3">
        <f t="shared" si="26"/>
        <v>0</v>
      </c>
      <c r="K20" s="3">
        <f t="shared" si="4"/>
        <v>9703.679959696361</v>
      </c>
      <c r="L20" s="3">
        <f t="shared" si="27"/>
        <v>0</v>
      </c>
      <c r="M20">
        <f t="shared" si="5"/>
        <v>9701.7099145281354</v>
      </c>
      <c r="N20">
        <f t="shared" si="28"/>
        <v>-197.00451682256244</v>
      </c>
      <c r="O20">
        <f t="shared" si="6"/>
        <v>9703.679959696361</v>
      </c>
      <c r="P20">
        <f t="shared" si="29"/>
        <v>0</v>
      </c>
      <c r="Q20" s="3">
        <f t="shared" si="30"/>
        <v>-5.6415540620440714</v>
      </c>
      <c r="R20" s="3">
        <f t="shared" si="31"/>
        <v>0.96365708574645292</v>
      </c>
      <c r="S20" s="7">
        <f t="shared" si="32"/>
        <v>-5.531824881142887</v>
      </c>
      <c r="T20" s="7">
        <f t="shared" si="33"/>
        <v>1.5124420404547092</v>
      </c>
      <c r="U20" s="7">
        <f t="shared" si="7"/>
        <v>31.208089128728115</v>
      </c>
      <c r="V20" s="7">
        <f t="shared" si="8"/>
        <v>-3.8183402033671641</v>
      </c>
      <c r="X20" s="3">
        <f t="shared" si="0"/>
        <v>-197.01451682245511</v>
      </c>
      <c r="Y20" s="3">
        <f t="shared" si="1"/>
        <v>-6895.5080887859285</v>
      </c>
    </row>
    <row r="21" spans="1:25" x14ac:dyDescent="0.2">
      <c r="A21">
        <v>9</v>
      </c>
      <c r="B21">
        <v>48</v>
      </c>
      <c r="C21" s="3">
        <f t="shared" si="9"/>
        <v>0.96365708574645292</v>
      </c>
      <c r="D21">
        <f t="shared" si="22"/>
        <v>-5.6415540620440714</v>
      </c>
      <c r="E21">
        <f t="shared" si="23"/>
        <v>1.5124420404547092</v>
      </c>
      <c r="F21">
        <f t="shared" si="24"/>
        <v>-5.531824881142887</v>
      </c>
      <c r="G21">
        <f t="shared" si="2"/>
        <v>1.5124420404547092</v>
      </c>
      <c r="H21" s="1">
        <f t="shared" si="25"/>
        <v>2161.0930450420828</v>
      </c>
      <c r="I21" s="3">
        <f t="shared" si="3"/>
        <v>2161.0930450420828</v>
      </c>
      <c r="J21" s="3">
        <f t="shared" si="26"/>
        <v>0</v>
      </c>
      <c r="K21" s="3">
        <f t="shared" si="4"/>
        <v>2161.0930450420828</v>
      </c>
      <c r="L21" s="3">
        <f t="shared" si="27"/>
        <v>0</v>
      </c>
      <c r="M21">
        <f t="shared" si="5"/>
        <v>2160.1633938828923</v>
      </c>
      <c r="N21">
        <f t="shared" si="28"/>
        <v>-92.965115919059826</v>
      </c>
      <c r="O21">
        <f t="shared" si="6"/>
        <v>2161.0930450420828</v>
      </c>
      <c r="P21">
        <f t="shared" si="29"/>
        <v>0</v>
      </c>
      <c r="Q21" s="3">
        <f t="shared" si="30"/>
        <v>-5.6415540620440714</v>
      </c>
      <c r="R21" s="3">
        <f t="shared" si="31"/>
        <v>0.96365708574645292</v>
      </c>
      <c r="S21" s="7">
        <f t="shared" si="32"/>
        <v>-5.531824881142887</v>
      </c>
      <c r="T21" s="7">
        <f t="shared" si="33"/>
        <v>1.5217385520466151</v>
      </c>
      <c r="U21" s="7">
        <f t="shared" si="7"/>
        <v>31.208089128728115</v>
      </c>
      <c r="V21" s="7">
        <f t="shared" si="8"/>
        <v>-3.8090436917752579</v>
      </c>
      <c r="X21" s="3">
        <f t="shared" si="0"/>
        <v>-92.975115919090584</v>
      </c>
      <c r="Y21" s="3">
        <f t="shared" si="1"/>
        <v>-836.7760432718153</v>
      </c>
    </row>
    <row r="22" spans="1:25" x14ac:dyDescent="0.2">
      <c r="A22">
        <v>38</v>
      </c>
      <c r="B22">
        <v>106</v>
      </c>
      <c r="C22" s="3">
        <f t="shared" si="9"/>
        <v>0.96365708574645292</v>
      </c>
      <c r="D22">
        <f t="shared" si="22"/>
        <v>-5.6415540620440714</v>
      </c>
      <c r="E22">
        <f t="shared" si="23"/>
        <v>1.5217385520466151</v>
      </c>
      <c r="F22">
        <f t="shared" si="24"/>
        <v>-5.531824881142887</v>
      </c>
      <c r="G22">
        <f t="shared" si="2"/>
        <v>1.5217385520466151</v>
      </c>
      <c r="H22" s="1">
        <f t="shared" si="25"/>
        <v>10915.707115186902</v>
      </c>
      <c r="I22" s="3">
        <f t="shared" si="3"/>
        <v>10915.707115186902</v>
      </c>
      <c r="J22" s="3">
        <f t="shared" si="26"/>
        <v>0</v>
      </c>
      <c r="K22" s="3">
        <f t="shared" si="4"/>
        <v>10915.707115186902</v>
      </c>
      <c r="L22" s="3">
        <f t="shared" si="27"/>
        <v>0</v>
      </c>
      <c r="M22">
        <f t="shared" si="5"/>
        <v>10913.617649957943</v>
      </c>
      <c r="N22">
        <f t="shared" si="28"/>
        <v>-208.9465228958943</v>
      </c>
      <c r="O22">
        <f t="shared" si="6"/>
        <v>10915.707115186902</v>
      </c>
      <c r="P22">
        <f t="shared" si="29"/>
        <v>0</v>
      </c>
      <c r="Q22" s="3">
        <f t="shared" si="30"/>
        <v>-5.6415540620440714</v>
      </c>
      <c r="R22" s="3">
        <f t="shared" si="31"/>
        <v>0.96365708574645292</v>
      </c>
      <c r="S22" s="7">
        <f t="shared" si="32"/>
        <v>-5.531824881142887</v>
      </c>
      <c r="T22" s="7">
        <f t="shared" si="33"/>
        <v>1.5426332043362045</v>
      </c>
      <c r="U22" s="7">
        <f t="shared" si="7"/>
        <v>31.208089128728115</v>
      </c>
      <c r="V22" s="7">
        <f t="shared" si="8"/>
        <v>-3.7881490394856687</v>
      </c>
      <c r="X22" s="3">
        <f t="shared" si="0"/>
        <v>-208.95652289590677</v>
      </c>
      <c r="Y22" s="3">
        <f t="shared" si="1"/>
        <v>-7940.3478700444575</v>
      </c>
    </row>
    <row r="23" spans="1:25" x14ac:dyDescent="0.2">
      <c r="A23">
        <v>44</v>
      </c>
      <c r="B23">
        <v>118</v>
      </c>
      <c r="C23" s="3">
        <f t="shared" si="9"/>
        <v>0.96365708574645292</v>
      </c>
      <c r="D23">
        <f t="shared" si="22"/>
        <v>-5.6415540620440714</v>
      </c>
      <c r="E23">
        <f t="shared" si="23"/>
        <v>1.5426332043362045</v>
      </c>
      <c r="F23">
        <f t="shared" si="24"/>
        <v>-5.531824881142887</v>
      </c>
      <c r="G23">
        <f t="shared" si="2"/>
        <v>1.5426332043362045</v>
      </c>
      <c r="H23" s="1">
        <f t="shared" si="25"/>
        <v>13562.318280979778</v>
      </c>
      <c r="I23" s="3">
        <f t="shared" si="3"/>
        <v>13562.318280979778</v>
      </c>
      <c r="J23" s="3">
        <f t="shared" si="26"/>
        <v>0</v>
      </c>
      <c r="K23" s="3">
        <f t="shared" si="4"/>
        <v>13562.318280979778</v>
      </c>
      <c r="L23" s="3">
        <f t="shared" si="27"/>
        <v>0</v>
      </c>
      <c r="M23">
        <f t="shared" si="5"/>
        <v>13559.989233643862</v>
      </c>
      <c r="N23">
        <f t="shared" si="28"/>
        <v>-232.90473359156749</v>
      </c>
      <c r="O23">
        <f t="shared" si="6"/>
        <v>13562.318280979778</v>
      </c>
      <c r="P23">
        <f t="shared" si="29"/>
        <v>0</v>
      </c>
      <c r="Q23" s="3">
        <f t="shared" si="30"/>
        <v>-5.6415540620440714</v>
      </c>
      <c r="R23" s="3">
        <f t="shared" si="31"/>
        <v>0.96365708574645292</v>
      </c>
      <c r="S23" s="7">
        <f t="shared" si="32"/>
        <v>-5.531824881142887</v>
      </c>
      <c r="T23" s="7">
        <f t="shared" si="33"/>
        <v>1.5659236776953613</v>
      </c>
      <c r="U23" s="7">
        <f t="shared" si="7"/>
        <v>31.208089128728115</v>
      </c>
      <c r="V23" s="7">
        <f t="shared" si="8"/>
        <v>-3.7648585661265117</v>
      </c>
      <c r="X23" s="3">
        <f t="shared" si="0"/>
        <v>-232.9147335913276</v>
      </c>
      <c r="Y23" s="3">
        <f t="shared" si="1"/>
        <v>-10248.248278018415</v>
      </c>
    </row>
    <row r="24" spans="1:25" x14ac:dyDescent="0.2">
      <c r="A24">
        <v>99</v>
      </c>
      <c r="B24">
        <v>228</v>
      </c>
      <c r="C24" s="3">
        <f t="shared" si="9"/>
        <v>0.96365708574645292</v>
      </c>
      <c r="D24">
        <f t="shared" si="22"/>
        <v>-5.6415540620440714</v>
      </c>
      <c r="E24">
        <f t="shared" si="23"/>
        <v>1.5659236776953613</v>
      </c>
      <c r="F24">
        <f t="shared" si="24"/>
        <v>-5.531824881142887</v>
      </c>
      <c r="G24">
        <f t="shared" si="2"/>
        <v>1.5659236776953613</v>
      </c>
      <c r="H24" s="1">
        <f t="shared" si="25"/>
        <v>51272.390919935278</v>
      </c>
      <c r="I24" s="3">
        <f t="shared" si="3"/>
        <v>51272.390919935278</v>
      </c>
      <c r="J24" s="3">
        <f t="shared" si="26"/>
        <v>0</v>
      </c>
      <c r="K24" s="3">
        <f t="shared" si="4"/>
        <v>51272.390919935278</v>
      </c>
      <c r="L24" s="3">
        <f t="shared" si="27"/>
        <v>0</v>
      </c>
      <c r="M24">
        <f t="shared" si="5"/>
        <v>51267.862338408835</v>
      </c>
      <c r="N24">
        <f t="shared" si="28"/>
        <v>-452.8581526443304</v>
      </c>
      <c r="O24">
        <f t="shared" si="6"/>
        <v>51272.390919935278</v>
      </c>
      <c r="P24">
        <f t="shared" si="29"/>
        <v>0</v>
      </c>
      <c r="Q24" s="3">
        <f t="shared" si="30"/>
        <v>-5.6415540620440714</v>
      </c>
      <c r="R24" s="3">
        <f t="shared" si="31"/>
        <v>0.96365708574645292</v>
      </c>
      <c r="S24" s="7">
        <f t="shared" si="32"/>
        <v>-5.531824881142887</v>
      </c>
      <c r="T24" s="7">
        <f t="shared" si="33"/>
        <v>1.6112094929597944</v>
      </c>
      <c r="U24" s="7">
        <f t="shared" si="7"/>
        <v>31.208089128728115</v>
      </c>
      <c r="V24" s="7">
        <f t="shared" si="8"/>
        <v>-3.7195727508620786</v>
      </c>
      <c r="X24" s="3">
        <f t="shared" si="0"/>
        <v>-452.86815264460927</v>
      </c>
      <c r="Y24" s="3">
        <f t="shared" si="1"/>
        <v>-44833.94711181632</v>
      </c>
    </row>
    <row r="25" spans="1:25" x14ac:dyDescent="0.2">
      <c r="A25">
        <v>13</v>
      </c>
      <c r="B25">
        <v>56</v>
      </c>
      <c r="C25" s="3">
        <f t="shared" si="9"/>
        <v>0.96365708574645292</v>
      </c>
      <c r="D25">
        <f t="shared" si="22"/>
        <v>-5.6415540620440714</v>
      </c>
      <c r="E25">
        <f t="shared" si="23"/>
        <v>1.6112094929597944</v>
      </c>
      <c r="F25">
        <f t="shared" si="24"/>
        <v>-5.531824881142887</v>
      </c>
      <c r="G25">
        <f t="shared" si="2"/>
        <v>1.6112094929597944</v>
      </c>
      <c r="H25" s="1">
        <f t="shared" si="25"/>
        <v>2958.1405328187066</v>
      </c>
      <c r="I25" s="3">
        <f t="shared" si="3"/>
        <v>2958.1405328187066</v>
      </c>
      <c r="J25" s="3">
        <f t="shared" si="26"/>
        <v>0</v>
      </c>
      <c r="K25" s="3">
        <f t="shared" si="4"/>
        <v>2958.1405328187066</v>
      </c>
      <c r="L25" s="3">
        <f t="shared" si="27"/>
        <v>0</v>
      </c>
      <c r="M25">
        <f t="shared" si="5"/>
        <v>2957.0528570085662</v>
      </c>
      <c r="N25">
        <f t="shared" si="28"/>
        <v>-108.76758101403539</v>
      </c>
      <c r="O25">
        <f t="shared" si="6"/>
        <v>2958.1405328187066</v>
      </c>
      <c r="P25">
        <f t="shared" si="29"/>
        <v>0</v>
      </c>
      <c r="Q25" s="3">
        <f t="shared" si="30"/>
        <v>-5.6415540620440714</v>
      </c>
      <c r="R25" s="3">
        <f t="shared" si="31"/>
        <v>0.96365708574645292</v>
      </c>
      <c r="S25" s="7">
        <f t="shared" si="32"/>
        <v>-5.531824881142887</v>
      </c>
      <c r="T25" s="7">
        <f t="shared" si="33"/>
        <v>1.622086251061198</v>
      </c>
      <c r="U25" s="7">
        <f t="shared" si="7"/>
        <v>31.208089128728115</v>
      </c>
      <c r="V25" s="7">
        <f t="shared" si="8"/>
        <v>-3.7086959927606751</v>
      </c>
      <c r="X25" s="3">
        <f t="shared" si="0"/>
        <v>-108.77758101408041</v>
      </c>
      <c r="Y25" s="3">
        <f t="shared" si="1"/>
        <v>-1414.1085531830454</v>
      </c>
    </row>
    <row r="26" spans="1:25" x14ac:dyDescent="0.2">
      <c r="A26">
        <v>21</v>
      </c>
      <c r="B26">
        <v>72</v>
      </c>
      <c r="C26" s="3">
        <f t="shared" si="9"/>
        <v>0.96365708574645292</v>
      </c>
      <c r="D26">
        <f t="shared" si="22"/>
        <v>-5.6415540620440714</v>
      </c>
      <c r="E26">
        <f t="shared" si="23"/>
        <v>1.622086251061198</v>
      </c>
      <c r="F26">
        <f t="shared" si="24"/>
        <v>-5.531824881142887</v>
      </c>
      <c r="G26">
        <f t="shared" si="2"/>
        <v>1.622086251061198</v>
      </c>
      <c r="H26" s="1">
        <f t="shared" si="25"/>
        <v>4953.0507436530679</v>
      </c>
      <c r="I26" s="3">
        <f t="shared" si="3"/>
        <v>4953.0507436530679</v>
      </c>
      <c r="J26" s="3">
        <f t="shared" si="26"/>
        <v>0</v>
      </c>
      <c r="K26" s="3">
        <f t="shared" si="4"/>
        <v>4953.0507436530679</v>
      </c>
      <c r="L26" s="3">
        <f t="shared" si="27"/>
        <v>0</v>
      </c>
      <c r="M26">
        <f t="shared" si="5"/>
        <v>4951.6432853780907</v>
      </c>
      <c r="N26">
        <f t="shared" si="28"/>
        <v>-140.74582749772162</v>
      </c>
      <c r="O26">
        <f t="shared" si="6"/>
        <v>4953.0507436530679</v>
      </c>
      <c r="P26">
        <f t="shared" si="29"/>
        <v>0</v>
      </c>
      <c r="Q26" s="3">
        <f t="shared" si="30"/>
        <v>-5.6415540620440714</v>
      </c>
      <c r="R26" s="3">
        <f t="shared" si="31"/>
        <v>0.96365708574645292</v>
      </c>
      <c r="S26" s="7">
        <f t="shared" si="32"/>
        <v>-5.531824881142887</v>
      </c>
      <c r="T26" s="7">
        <f t="shared" si="33"/>
        <v>1.6361608338109701</v>
      </c>
      <c r="U26" s="7">
        <f t="shared" si="7"/>
        <v>31.208089128728115</v>
      </c>
      <c r="V26" s="7">
        <f t="shared" si="8"/>
        <v>-3.6946214100109032</v>
      </c>
      <c r="X26" s="3">
        <f t="shared" si="0"/>
        <v>-140.75582749787759</v>
      </c>
      <c r="Y26" s="3">
        <f t="shared" si="1"/>
        <v>-2955.8723774554292</v>
      </c>
    </row>
    <row r="27" spans="1:25" x14ac:dyDescent="0.2">
      <c r="A27">
        <v>28</v>
      </c>
      <c r="B27">
        <v>86</v>
      </c>
      <c r="C27" s="3">
        <f t="shared" si="9"/>
        <v>0.96365708574645292</v>
      </c>
      <c r="D27">
        <f t="shared" si="22"/>
        <v>-5.6415540620440714</v>
      </c>
      <c r="E27">
        <f t="shared" si="23"/>
        <v>1.6361608338109701</v>
      </c>
      <c r="F27">
        <f t="shared" si="24"/>
        <v>-5.531824881142887</v>
      </c>
      <c r="G27">
        <f t="shared" si="2"/>
        <v>1.6361608338109701</v>
      </c>
      <c r="H27" s="1">
        <f t="shared" si="25"/>
        <v>7117.2573588586092</v>
      </c>
      <c r="I27" s="3">
        <f t="shared" si="3"/>
        <v>7117.2573588586092</v>
      </c>
      <c r="J27" s="3">
        <f t="shared" si="26"/>
        <v>0</v>
      </c>
      <c r="K27" s="3">
        <f t="shared" si="4"/>
        <v>7117.2573588586092</v>
      </c>
      <c r="L27" s="3">
        <f t="shared" si="27"/>
        <v>0</v>
      </c>
      <c r="M27">
        <f t="shared" si="5"/>
        <v>7115.5701820752865</v>
      </c>
      <c r="N27">
        <f t="shared" si="28"/>
        <v>-168.71767833226841</v>
      </c>
      <c r="O27">
        <f t="shared" si="6"/>
        <v>7117.2573588586092</v>
      </c>
      <c r="P27">
        <f t="shared" si="29"/>
        <v>0</v>
      </c>
      <c r="Q27" s="3">
        <f t="shared" si="30"/>
        <v>-5.6415540620440714</v>
      </c>
      <c r="R27" s="3">
        <f t="shared" si="31"/>
        <v>0.96365708574645292</v>
      </c>
      <c r="S27" s="7">
        <f t="shared" si="32"/>
        <v>-5.531824881142887</v>
      </c>
      <c r="T27" s="7">
        <f t="shared" si="33"/>
        <v>1.653032601644197</v>
      </c>
      <c r="U27" s="7">
        <f t="shared" si="7"/>
        <v>31.208089128728115</v>
      </c>
      <c r="V27" s="7">
        <f t="shared" si="8"/>
        <v>-3.6777496421776759</v>
      </c>
      <c r="X27" s="3">
        <f t="shared" si="0"/>
        <v>-168.72767833237805</v>
      </c>
      <c r="Y27" s="3">
        <f t="shared" si="1"/>
        <v>-4724.3749933065856</v>
      </c>
    </row>
    <row r="28" spans="1:25" x14ac:dyDescent="0.2">
      <c r="A28">
        <v>20</v>
      </c>
      <c r="B28">
        <v>70</v>
      </c>
      <c r="C28" s="3">
        <f t="shared" si="9"/>
        <v>0.96365708574645292</v>
      </c>
      <c r="D28">
        <f t="shared" si="22"/>
        <v>-5.6415540620440714</v>
      </c>
      <c r="E28">
        <f t="shared" si="23"/>
        <v>1.653032601644197</v>
      </c>
      <c r="F28">
        <f t="shared" si="24"/>
        <v>-5.531824881142887</v>
      </c>
      <c r="G28">
        <f t="shared" si="2"/>
        <v>1.653032601644197</v>
      </c>
      <c r="H28" s="1">
        <f t="shared" si="25"/>
        <v>4671.3079525519106</v>
      </c>
      <c r="I28" s="3">
        <f t="shared" si="3"/>
        <v>4671.3079525519106</v>
      </c>
      <c r="J28" s="3">
        <f t="shared" si="26"/>
        <v>0</v>
      </c>
      <c r="K28" s="3">
        <f t="shared" si="4"/>
        <v>4671.3079525519106</v>
      </c>
      <c r="L28" s="3">
        <f t="shared" si="27"/>
        <v>0</v>
      </c>
      <c r="M28">
        <f t="shared" si="5"/>
        <v>4669.9411132039431</v>
      </c>
      <c r="N28">
        <f t="shared" si="28"/>
        <v>-136.68393479674705</v>
      </c>
      <c r="O28">
        <f t="shared" si="6"/>
        <v>4671.3079525519106</v>
      </c>
      <c r="P28">
        <f t="shared" si="29"/>
        <v>0</v>
      </c>
      <c r="Q28" s="3">
        <f t="shared" si="30"/>
        <v>-5.6415540620440714</v>
      </c>
      <c r="R28" s="3">
        <f t="shared" si="31"/>
        <v>0.96365708574645292</v>
      </c>
      <c r="S28" s="7">
        <f t="shared" si="32"/>
        <v>-5.531824881142887</v>
      </c>
      <c r="T28" s="7">
        <f t="shared" si="33"/>
        <v>1.6667009951238716</v>
      </c>
      <c r="U28" s="7">
        <f t="shared" si="7"/>
        <v>31.208089128728115</v>
      </c>
      <c r="V28" s="7">
        <f t="shared" si="8"/>
        <v>-3.6640812486980012</v>
      </c>
      <c r="X28" s="3">
        <f t="shared" si="0"/>
        <v>-136.6939347967116</v>
      </c>
      <c r="Y28" s="3">
        <f t="shared" si="1"/>
        <v>-2733.8786959342319</v>
      </c>
    </row>
    <row r="29" spans="1:25" x14ac:dyDescent="0.2">
      <c r="A29">
        <v>8</v>
      </c>
      <c r="B29">
        <v>46</v>
      </c>
      <c r="C29" s="3">
        <f t="shared" si="9"/>
        <v>0.96365708574645292</v>
      </c>
      <c r="D29">
        <f t="shared" si="22"/>
        <v>-5.6415540620440714</v>
      </c>
      <c r="E29">
        <f t="shared" si="23"/>
        <v>1.6667009951238716</v>
      </c>
      <c r="F29">
        <f t="shared" si="24"/>
        <v>-5.531824881142887</v>
      </c>
      <c r="G29">
        <f t="shared" si="2"/>
        <v>1.6667009951238716</v>
      </c>
      <c r="H29" s="1">
        <f t="shared" si="25"/>
        <v>1965.4414006557511</v>
      </c>
      <c r="I29" s="3">
        <f t="shared" si="3"/>
        <v>1965.4414006557511</v>
      </c>
      <c r="J29" s="3">
        <f t="shared" si="26"/>
        <v>0</v>
      </c>
      <c r="K29" s="3">
        <f t="shared" si="4"/>
        <v>1965.4414006557511</v>
      </c>
      <c r="L29" s="3">
        <f t="shared" si="27"/>
        <v>0</v>
      </c>
      <c r="M29">
        <f t="shared" si="5"/>
        <v>1964.554834675653</v>
      </c>
      <c r="N29">
        <f t="shared" si="28"/>
        <v>-88.656598009811205</v>
      </c>
      <c r="O29">
        <f t="shared" si="6"/>
        <v>1965.4414006557511</v>
      </c>
      <c r="P29">
        <f t="shared" si="29"/>
        <v>0</v>
      </c>
      <c r="Q29" s="3">
        <f t="shared" si="30"/>
        <v>-5.6415540620440714</v>
      </c>
      <c r="R29" s="3">
        <f t="shared" si="31"/>
        <v>0.96365708574645292</v>
      </c>
      <c r="S29" s="7">
        <f t="shared" si="32"/>
        <v>-5.531824881142887</v>
      </c>
      <c r="T29" s="7">
        <f t="shared" si="33"/>
        <v>1.6755666549248527</v>
      </c>
      <c r="U29" s="7">
        <f t="shared" si="7"/>
        <v>31.208089128728115</v>
      </c>
      <c r="V29" s="7">
        <f t="shared" si="8"/>
        <v>-3.6552155888970201</v>
      </c>
      <c r="X29" s="3">
        <f t="shared" si="0"/>
        <v>-88.666598009752263</v>
      </c>
      <c r="Y29" s="3">
        <f t="shared" si="1"/>
        <v>-709.33278407801811</v>
      </c>
    </row>
    <row r="30" spans="1:25" x14ac:dyDescent="0.2">
      <c r="A30">
        <v>64</v>
      </c>
      <c r="B30">
        <v>158</v>
      </c>
      <c r="C30" s="3">
        <f t="shared" si="9"/>
        <v>0.96365708574645292</v>
      </c>
      <c r="D30">
        <f t="shared" si="22"/>
        <v>-5.6415540620440714</v>
      </c>
      <c r="E30">
        <f t="shared" si="23"/>
        <v>1.6755666549248527</v>
      </c>
      <c r="F30">
        <f t="shared" si="24"/>
        <v>-5.531824881142887</v>
      </c>
      <c r="G30">
        <f t="shared" si="2"/>
        <v>1.6755666549248527</v>
      </c>
      <c r="H30" s="1">
        <f t="shared" si="25"/>
        <v>24437.328460658839</v>
      </c>
      <c r="I30" s="3">
        <f t="shared" si="3"/>
        <v>24437.328460658839</v>
      </c>
      <c r="J30" s="3">
        <f t="shared" si="26"/>
        <v>0</v>
      </c>
      <c r="K30" s="3">
        <f t="shared" si="4"/>
        <v>24437.328460658839</v>
      </c>
      <c r="L30" s="3">
        <f t="shared" si="27"/>
        <v>0</v>
      </c>
      <c r="M30">
        <f t="shared" si="5"/>
        <v>24434.202071991942</v>
      </c>
      <c r="N30">
        <f t="shared" si="28"/>
        <v>-312.63886668966734</v>
      </c>
      <c r="O30">
        <f t="shared" si="6"/>
        <v>24437.328460658839</v>
      </c>
      <c r="P30">
        <f t="shared" si="29"/>
        <v>0</v>
      </c>
      <c r="Q30" s="3">
        <f t="shared" si="30"/>
        <v>-5.6415540620440714</v>
      </c>
      <c r="R30" s="3">
        <f t="shared" si="31"/>
        <v>0.96365708574645292</v>
      </c>
      <c r="S30" s="7">
        <f t="shared" si="32"/>
        <v>-5.531824881142887</v>
      </c>
      <c r="T30" s="7">
        <f t="shared" si="33"/>
        <v>1.7068305415938194</v>
      </c>
      <c r="U30" s="7">
        <f t="shared" si="7"/>
        <v>31.208089128728115</v>
      </c>
      <c r="V30" s="7">
        <f t="shared" si="8"/>
        <v>-3.6239517022280534</v>
      </c>
      <c r="X30" s="3">
        <f t="shared" si="0"/>
        <v>-312.64886669015027</v>
      </c>
      <c r="Y30" s="3">
        <f t="shared" si="1"/>
        <v>-20009.527468169617</v>
      </c>
    </row>
    <row r="31" spans="1:25" x14ac:dyDescent="0.2">
      <c r="A31">
        <v>99</v>
      </c>
      <c r="B31">
        <v>228</v>
      </c>
      <c r="C31" s="3">
        <f t="shared" si="9"/>
        <v>0.96365708574645292</v>
      </c>
      <c r="D31">
        <f t="shared" si="22"/>
        <v>-5.6415540620440714</v>
      </c>
      <c r="E31">
        <f t="shared" si="23"/>
        <v>1.7068305415938194</v>
      </c>
      <c r="F31">
        <f t="shared" si="24"/>
        <v>-5.531824881142887</v>
      </c>
      <c r="G31">
        <f t="shared" si="2"/>
        <v>1.7068305415938194</v>
      </c>
      <c r="H31" s="1">
        <f t="shared" si="25"/>
        <v>51208.598543530934</v>
      </c>
      <c r="I31" s="3">
        <f t="shared" si="3"/>
        <v>51208.598543530934</v>
      </c>
      <c r="J31" s="3">
        <f t="shared" si="26"/>
        <v>0</v>
      </c>
      <c r="K31" s="3">
        <f t="shared" si="4"/>
        <v>51208.598543530934</v>
      </c>
      <c r="L31" s="3">
        <f t="shared" si="27"/>
        <v>0</v>
      </c>
      <c r="M31">
        <f t="shared" si="5"/>
        <v>51204.072780141767</v>
      </c>
      <c r="N31">
        <f t="shared" si="28"/>
        <v>-452.57633891669684</v>
      </c>
      <c r="O31">
        <f t="shared" si="6"/>
        <v>51208.598543530934</v>
      </c>
      <c r="P31">
        <f t="shared" si="29"/>
        <v>0</v>
      </c>
      <c r="Q31" s="3">
        <f t="shared" si="30"/>
        <v>-5.6415540620440714</v>
      </c>
      <c r="R31" s="3">
        <f t="shared" si="31"/>
        <v>0.96365708574645292</v>
      </c>
      <c r="S31" s="7">
        <f t="shared" si="32"/>
        <v>-5.531824881142887</v>
      </c>
      <c r="T31" s="7">
        <f t="shared" si="33"/>
        <v>1.7520881754854891</v>
      </c>
      <c r="U31" s="7">
        <f t="shared" si="7"/>
        <v>31.208089128728115</v>
      </c>
      <c r="V31" s="7">
        <f t="shared" si="8"/>
        <v>-3.5786940683363841</v>
      </c>
      <c r="X31" s="3">
        <f t="shared" si="0"/>
        <v>-452.58633891681234</v>
      </c>
      <c r="Y31" s="3">
        <f t="shared" si="1"/>
        <v>-44806.047552764423</v>
      </c>
    </row>
    <row r="32" spans="1:25" x14ac:dyDescent="0.2">
      <c r="A32">
        <v>70</v>
      </c>
      <c r="B32">
        <v>170</v>
      </c>
      <c r="C32" s="3">
        <f t="shared" si="9"/>
        <v>0.96365708574645292</v>
      </c>
      <c r="D32">
        <f t="shared" si="22"/>
        <v>-5.6415540620440714</v>
      </c>
      <c r="E32">
        <f t="shared" si="23"/>
        <v>1.7520881754854891</v>
      </c>
      <c r="F32">
        <f t="shared" si="24"/>
        <v>-5.531824881142887</v>
      </c>
      <c r="G32">
        <f t="shared" si="2"/>
        <v>1.7520881754854891</v>
      </c>
      <c r="H32" s="1">
        <f t="shared" si="25"/>
        <v>28307.359833309612</v>
      </c>
      <c r="I32" s="3">
        <f t="shared" si="3"/>
        <v>28307.359833309612</v>
      </c>
      <c r="J32" s="3">
        <f t="shared" si="26"/>
        <v>0</v>
      </c>
      <c r="K32" s="3">
        <f t="shared" si="4"/>
        <v>28307.359833309612</v>
      </c>
      <c r="L32" s="3">
        <f t="shared" si="27"/>
        <v>0</v>
      </c>
      <c r="M32">
        <f t="shared" si="5"/>
        <v>28303.994975073114</v>
      </c>
      <c r="N32">
        <f t="shared" si="28"/>
        <v>-336.48582364985486</v>
      </c>
      <c r="O32">
        <f t="shared" si="6"/>
        <v>28307.359833309612</v>
      </c>
      <c r="P32">
        <f t="shared" si="29"/>
        <v>0</v>
      </c>
      <c r="Q32" s="3">
        <f t="shared" si="30"/>
        <v>-5.6415540620440714</v>
      </c>
      <c r="R32" s="3">
        <f t="shared" si="31"/>
        <v>0.96365708574645292</v>
      </c>
      <c r="S32" s="7">
        <f t="shared" si="32"/>
        <v>-5.531824881142887</v>
      </c>
      <c r="T32" s="7">
        <f t="shared" si="33"/>
        <v>1.7857367578504746</v>
      </c>
      <c r="U32" s="7">
        <f t="shared" si="7"/>
        <v>31.208089128728115</v>
      </c>
      <c r="V32" s="7">
        <f t="shared" si="8"/>
        <v>-3.5450454859713982</v>
      </c>
      <c r="X32" s="3">
        <f t="shared" si="0"/>
        <v>-336.49582364902903</v>
      </c>
      <c r="Y32" s="3">
        <f t="shared" si="1"/>
        <v>-23554.707655432034</v>
      </c>
    </row>
    <row r="33" spans="1:25" x14ac:dyDescent="0.2">
      <c r="A33">
        <v>27</v>
      </c>
      <c r="B33">
        <v>84</v>
      </c>
      <c r="C33" s="3">
        <f t="shared" si="9"/>
        <v>0.96365708574645292</v>
      </c>
      <c r="D33">
        <f t="shared" si="22"/>
        <v>-5.6415540620440714</v>
      </c>
      <c r="E33">
        <f t="shared" si="23"/>
        <v>1.7857367578504746</v>
      </c>
      <c r="F33">
        <f t="shared" si="24"/>
        <v>-5.531824881142887</v>
      </c>
      <c r="G33">
        <f t="shared" si="2"/>
        <v>1.7857367578504746</v>
      </c>
      <c r="H33" s="1">
        <f t="shared" si="25"/>
        <v>6759.1850804494588</v>
      </c>
      <c r="I33" s="3">
        <f t="shared" si="3"/>
        <v>6759.1850804494588</v>
      </c>
      <c r="J33" s="3">
        <f t="shared" si="26"/>
        <v>0</v>
      </c>
      <c r="K33" s="3">
        <f t="shared" si="4"/>
        <v>6759.1850804494588</v>
      </c>
      <c r="L33" s="3">
        <f t="shared" si="27"/>
        <v>0</v>
      </c>
      <c r="M33">
        <f t="shared" si="5"/>
        <v>6757.5408951846148</v>
      </c>
      <c r="N33">
        <f t="shared" si="28"/>
        <v>-164.41852648440545</v>
      </c>
      <c r="O33">
        <f t="shared" si="6"/>
        <v>6759.1850804494588</v>
      </c>
      <c r="P33">
        <f t="shared" si="29"/>
        <v>0</v>
      </c>
      <c r="Q33" s="3">
        <f t="shared" si="30"/>
        <v>-5.6415540620440714</v>
      </c>
      <c r="R33" s="3">
        <f t="shared" si="31"/>
        <v>0.96365708574645292</v>
      </c>
      <c r="S33" s="7">
        <f t="shared" si="32"/>
        <v>-5.531824881142887</v>
      </c>
      <c r="T33" s="7">
        <f t="shared" si="33"/>
        <v>1.802178610498915</v>
      </c>
      <c r="U33" s="7">
        <f t="shared" si="7"/>
        <v>31.208089128728115</v>
      </c>
      <c r="V33" s="7">
        <f t="shared" si="8"/>
        <v>-3.528603633322958</v>
      </c>
      <c r="X33" s="3">
        <f t="shared" si="0"/>
        <v>-164.42852648429906</v>
      </c>
      <c r="Y33" s="3">
        <f t="shared" si="1"/>
        <v>-4439.5702150760744</v>
      </c>
    </row>
    <row r="34" spans="1:25" x14ac:dyDescent="0.2">
      <c r="A34">
        <v>17</v>
      </c>
      <c r="B34">
        <v>64</v>
      </c>
      <c r="C34" s="3">
        <f t="shared" si="9"/>
        <v>0.96365708574645292</v>
      </c>
      <c r="D34">
        <f t="shared" si="22"/>
        <v>-5.6415540620440714</v>
      </c>
      <c r="E34">
        <f t="shared" si="23"/>
        <v>1.802178610498915</v>
      </c>
      <c r="F34">
        <f t="shared" si="24"/>
        <v>-5.531824881142887</v>
      </c>
      <c r="G34">
        <f t="shared" si="2"/>
        <v>1.802178610498915</v>
      </c>
      <c r="H34" s="1">
        <f t="shared" si="25"/>
        <v>3868.5689856002791</v>
      </c>
      <c r="I34" s="3">
        <f t="shared" si="3"/>
        <v>3868.5689856002791</v>
      </c>
      <c r="J34" s="3">
        <f t="shared" si="26"/>
        <v>0</v>
      </c>
      <c r="K34" s="3">
        <f t="shared" si="4"/>
        <v>3868.5689856002791</v>
      </c>
      <c r="L34" s="3">
        <f t="shared" si="27"/>
        <v>0</v>
      </c>
      <c r="M34">
        <f t="shared" si="5"/>
        <v>3867.3251291724882</v>
      </c>
      <c r="N34">
        <f t="shared" si="28"/>
        <v>-124.38564277908881</v>
      </c>
      <c r="O34">
        <f t="shared" si="6"/>
        <v>3868.5689856002791</v>
      </c>
      <c r="P34">
        <f t="shared" si="29"/>
        <v>0</v>
      </c>
      <c r="Q34" s="3">
        <f t="shared" si="30"/>
        <v>-5.6415540620440714</v>
      </c>
      <c r="R34" s="3">
        <f t="shared" si="31"/>
        <v>0.96365708574645292</v>
      </c>
      <c r="S34" s="7">
        <f t="shared" si="32"/>
        <v>-5.531824881142887</v>
      </c>
      <c r="T34" s="7">
        <f t="shared" si="33"/>
        <v>1.8146171747768238</v>
      </c>
      <c r="U34" s="7">
        <f t="shared" si="7"/>
        <v>31.208089128728115</v>
      </c>
      <c r="V34" s="7">
        <f t="shared" si="8"/>
        <v>-3.5161650690450492</v>
      </c>
      <c r="X34" s="3">
        <f t="shared" si="0"/>
        <v>-124.39564277900217</v>
      </c>
      <c r="Y34" s="3">
        <f t="shared" si="1"/>
        <v>-2114.7259272430369</v>
      </c>
    </row>
    <row r="35" spans="1:25" x14ac:dyDescent="0.2">
      <c r="A35">
        <v>8</v>
      </c>
      <c r="B35">
        <v>46</v>
      </c>
      <c r="C35" s="3">
        <f t="shared" si="9"/>
        <v>0.96365708574645292</v>
      </c>
      <c r="D35">
        <f t="shared" si="22"/>
        <v>-5.6415540620440714</v>
      </c>
      <c r="E35">
        <f t="shared" si="23"/>
        <v>1.8146171747768238</v>
      </c>
      <c r="F35">
        <f t="shared" si="24"/>
        <v>-5.531824881142887</v>
      </c>
      <c r="G35">
        <f t="shared" si="2"/>
        <v>1.8146171747768238</v>
      </c>
      <c r="H35" s="1">
        <f t="shared" si="25"/>
        <v>1952.3480554115274</v>
      </c>
      <c r="I35" s="3">
        <f t="shared" si="3"/>
        <v>1952.3480554115274</v>
      </c>
      <c r="J35" s="3">
        <f t="shared" si="26"/>
        <v>0</v>
      </c>
      <c r="K35" s="3">
        <f t="shared" si="4"/>
        <v>1952.3480554115274</v>
      </c>
      <c r="L35" s="3">
        <f t="shared" si="27"/>
        <v>0</v>
      </c>
      <c r="M35">
        <f t="shared" si="5"/>
        <v>1951.4644477550225</v>
      </c>
      <c r="N35">
        <f t="shared" si="28"/>
        <v>-88.360765650486428</v>
      </c>
      <c r="O35">
        <f t="shared" si="6"/>
        <v>1952.3480554115274</v>
      </c>
      <c r="P35">
        <f t="shared" si="29"/>
        <v>0</v>
      </c>
      <c r="Q35" s="3">
        <f t="shared" si="30"/>
        <v>-5.6415540620440714</v>
      </c>
      <c r="R35" s="3">
        <f t="shared" si="31"/>
        <v>0.96365708574645292</v>
      </c>
      <c r="S35" s="7">
        <f t="shared" si="32"/>
        <v>-5.531824881142887</v>
      </c>
      <c r="T35" s="7">
        <f t="shared" si="33"/>
        <v>1.8234532513418724</v>
      </c>
      <c r="U35" s="7">
        <f t="shared" si="7"/>
        <v>31.208089128728115</v>
      </c>
      <c r="V35" s="7">
        <f t="shared" si="8"/>
        <v>-3.5073289924800006</v>
      </c>
      <c r="X35" s="3">
        <f t="shared" si="0"/>
        <v>-88.370765650446359</v>
      </c>
      <c r="Y35" s="3">
        <f t="shared" si="1"/>
        <v>-706.96612520357087</v>
      </c>
    </row>
    <row r="36" spans="1:25" x14ac:dyDescent="0.2">
      <c r="G36" t="s">
        <v>2</v>
      </c>
      <c r="H36" s="1">
        <f>SQRT(SUM(H7:H35))</f>
        <v>674.2061273410676</v>
      </c>
      <c r="R36" t="s">
        <v>2</v>
      </c>
      <c r="S36">
        <v>419.21630268369785</v>
      </c>
      <c r="X36" s="3">
        <f>SQRT(SUMSQ(X7:X35))</f>
        <v>1348.4122546821352</v>
      </c>
      <c r="Y36" s="3">
        <f>SQRT(SUMSQ(Y7:Y35))</f>
        <v>96695.17556571601</v>
      </c>
    </row>
    <row r="39" spans="1:25" x14ac:dyDescent="0.2">
      <c r="C39" t="s">
        <v>20</v>
      </c>
    </row>
    <row r="40" spans="1:25" x14ac:dyDescent="0.2">
      <c r="C40" t="s">
        <v>2</v>
      </c>
    </row>
    <row r="41" spans="1:25" x14ac:dyDescent="0.2">
      <c r="C41">
        <v>419.21630268369785</v>
      </c>
    </row>
    <row r="110" spans="3:3" x14ac:dyDescent="0.2">
      <c r="C110">
        <v>294.42142634399795</v>
      </c>
    </row>
    <row r="111" spans="3:3" x14ac:dyDescent="0.2">
      <c r="C111">
        <v>294.42147201824287</v>
      </c>
    </row>
    <row r="112" spans="3:3" x14ac:dyDescent="0.2">
      <c r="C112">
        <v>294.42302273405431</v>
      </c>
    </row>
    <row r="113" spans="3:3" x14ac:dyDescent="0.2">
      <c r="C113">
        <v>294.42583654225973</v>
      </c>
    </row>
    <row r="114" spans="3:3" x14ac:dyDescent="0.2">
      <c r="C114">
        <v>294.42970162863008</v>
      </c>
    </row>
    <row r="115" spans="3:3" x14ac:dyDescent="0.2">
      <c r="C115">
        <v>294.43443287935418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asic4.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71682" r:id="rId5" name="Button 2">
              <controlPr defaultSize="0" print="0" autoFill="0" autoPict="0" macro="[0]!basic4.reset">
                <anchor moveWithCells="1">
                  <from>
                    <xdr:col>0</xdr:col>
                    <xdr:colOff>0</xdr:colOff>
                    <xdr:row>0</xdr:row>
                    <xdr:rowOff>25400</xdr:rowOff>
                  </from>
                  <to>
                    <xdr:col>0</xdr:col>
                    <xdr:colOff>508000</xdr:colOff>
                    <xdr:row>1</xdr:row>
                    <xdr:rowOff>0</xdr:rowOff>
                  </to>
                </anchor>
              </controlPr>
            </control>
          </mc:Choice>
        </mc:AlternateContent>
        <mc:AlternateContent xmlns:mc="http://schemas.openxmlformats.org/markup-compatibility/2006">
          <mc:Choice Requires="x14">
            <control shapeId="71693" r:id="rId6" name="Button 13">
              <controlPr defaultSize="0" print="0" autoFill="0" autoPict="0" macro="[0]!basic4.onestep">
                <anchor moveWithCells="1" sizeWithCells="1">
                  <from>
                    <xdr:col>0</xdr:col>
                    <xdr:colOff>50800</xdr:colOff>
                    <xdr:row>2</xdr:row>
                    <xdr:rowOff>76200</xdr:rowOff>
                  </from>
                  <to>
                    <xdr:col>0</xdr:col>
                    <xdr:colOff>685800</xdr:colOff>
                    <xdr:row>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4"/>
  <sheetViews>
    <sheetView zoomScale="120" zoomScaleNormal="130" workbookViewId="0">
      <pane xSplit="3" ySplit="4" topLeftCell="D5" activePane="bottomRight" state="frozen"/>
      <selection pane="topRight" activeCell="D1" sqref="D1"/>
      <selection pane="bottomLeft" activeCell="A4" sqref="A4"/>
      <selection pane="bottomRight" activeCell="F5" sqref="F5:F3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0" width="16" customWidth="1"/>
    <col min="11" max="11" width="16.33203125" customWidth="1"/>
  </cols>
  <sheetData>
    <row r="1" spans="1:13" x14ac:dyDescent="0.2">
      <c r="B1" t="s">
        <v>21</v>
      </c>
      <c r="C1" s="5">
        <v>1</v>
      </c>
      <c r="D1" s="5" t="s">
        <v>14</v>
      </c>
      <c r="I1" t="s">
        <v>24</v>
      </c>
      <c r="J1">
        <v>0.9</v>
      </c>
      <c r="K1">
        <f>1-J1</f>
        <v>9.9999999999999978E-2</v>
      </c>
      <c r="M1" t="s">
        <v>92</v>
      </c>
    </row>
    <row r="2" spans="1:13" s="30" customFormat="1" x14ac:dyDescent="0.2">
      <c r="C2" s="5"/>
      <c r="D2" s="5"/>
      <c r="E2" s="5"/>
      <c r="F2" s="7"/>
      <c r="G2" s="7"/>
    </row>
    <row r="3" spans="1:13" x14ac:dyDescent="0.2">
      <c r="B3" t="s">
        <v>22</v>
      </c>
      <c r="C3" s="5">
        <v>1</v>
      </c>
      <c r="D3">
        <v>1E-4</v>
      </c>
      <c r="F3" s="9"/>
      <c r="G3" s="9"/>
      <c r="J3" s="2" t="s">
        <v>126</v>
      </c>
      <c r="K3" s="2" t="s">
        <v>127</v>
      </c>
      <c r="M3" t="s">
        <v>93</v>
      </c>
    </row>
    <row r="4" spans="1:13" s="2" customFormat="1" x14ac:dyDescent="0.2">
      <c r="A4" s="2" t="s">
        <v>15</v>
      </c>
      <c r="B4" s="2" t="s">
        <v>16</v>
      </c>
      <c r="C4" s="6" t="s">
        <v>21</v>
      </c>
      <c r="D4" s="6" t="s">
        <v>22</v>
      </c>
      <c r="E4" s="6" t="s">
        <v>18</v>
      </c>
      <c r="F4" s="8" t="s">
        <v>6</v>
      </c>
      <c r="G4" s="8" t="s">
        <v>9</v>
      </c>
      <c r="H4" s="2" t="s">
        <v>13</v>
      </c>
      <c r="I4" s="2" t="s">
        <v>12</v>
      </c>
      <c r="J4">
        <f>J34</f>
        <v>-18.333926690207889</v>
      </c>
      <c r="K4">
        <f>K34</f>
        <v>98.245830392128539</v>
      </c>
      <c r="L4" s="4"/>
      <c r="M4" s="4" t="s">
        <v>125</v>
      </c>
    </row>
    <row r="5" spans="1:13" x14ac:dyDescent="0.2">
      <c r="A5">
        <v>14</v>
      </c>
      <c r="B5">
        <v>58</v>
      </c>
      <c r="C5" s="5">
        <f>C1</f>
        <v>1</v>
      </c>
      <c r="D5" s="5">
        <f>C3</f>
        <v>1</v>
      </c>
      <c r="E5" s="5">
        <f>C5+D5*A5</f>
        <v>15</v>
      </c>
      <c r="F5" s="7">
        <f t="shared" ref="F5:F33" si="0">2*(D5*A5+C5-B5)</f>
        <v>-86</v>
      </c>
      <c r="G5" s="7">
        <f t="shared" ref="G5:G33" si="1">F5*A5</f>
        <v>-1204</v>
      </c>
      <c r="H5" s="3">
        <f>C5-J5*$D$3</f>
        <v>1.0025100534021187</v>
      </c>
      <c r="I5" s="3">
        <f>D5-K5*$D$3</f>
        <v>1.0031978752647084</v>
      </c>
      <c r="J5">
        <f>J4*$J$1+$K$1*F5</f>
        <v>-25.100534021187098</v>
      </c>
      <c r="K5">
        <f>K4*$J$1+$K$1*G5</f>
        <v>-31.978752647084292</v>
      </c>
      <c r="M5" s="4" t="s">
        <v>94</v>
      </c>
    </row>
    <row r="6" spans="1:13" x14ac:dyDescent="0.2">
      <c r="A6">
        <v>86</v>
      </c>
      <c r="B6">
        <v>202</v>
      </c>
      <c r="C6" s="5">
        <f>H5</f>
        <v>1.0025100534021187</v>
      </c>
      <c r="D6" s="5">
        <f>I5</f>
        <v>1.0031978752647084</v>
      </c>
      <c r="E6" s="5">
        <f>C6+D6*A6</f>
        <v>87.277527326167046</v>
      </c>
      <c r="F6" s="7">
        <f t="shared" si="0"/>
        <v>-229.44494534766591</v>
      </c>
      <c r="G6" s="7">
        <f t="shared" si="1"/>
        <v>-19732.265299899267</v>
      </c>
      <c r="H6" s="3">
        <f t="shared" ref="H6:H33" si="2">C6-J6*$D$3</f>
        <v>1.0070635509175023</v>
      </c>
      <c r="I6" s="3">
        <f t="shared" ref="I6:I33" si="3">D6-K6*$D$3</f>
        <v>1.2033986160019385</v>
      </c>
      <c r="J6">
        <f>J5*$J$1+$K$1*F6</f>
        <v>-45.534975153834978</v>
      </c>
      <c r="K6">
        <f t="shared" ref="J6:K21" si="4">K5*$J$1+$K$1*G6</f>
        <v>-2002.0074073723022</v>
      </c>
    </row>
    <row r="7" spans="1:13" x14ac:dyDescent="0.2">
      <c r="A7">
        <v>28</v>
      </c>
      <c r="B7">
        <v>86</v>
      </c>
      <c r="C7" s="5">
        <f>H6</f>
        <v>1.0070635509175023</v>
      </c>
      <c r="D7" s="5">
        <f>I6</f>
        <v>1.2033986160019385</v>
      </c>
      <c r="E7" s="5">
        <f>C7+D7*A7</f>
        <v>34.702224798971777</v>
      </c>
      <c r="F7" s="7">
        <f t="shared" si="0"/>
        <v>-102.59555040205645</v>
      </c>
      <c r="G7" s="7">
        <f t="shared" si="1"/>
        <v>-2872.6754112575804</v>
      </c>
      <c r="H7" s="3">
        <f t="shared" si="2"/>
        <v>1.012187654185368</v>
      </c>
      <c r="I7" s="3">
        <f t="shared" si="3"/>
        <v>1.4123060367780216</v>
      </c>
      <c r="J7">
        <f t="shared" si="4"/>
        <v>-51.24103267865712</v>
      </c>
      <c r="K7">
        <f t="shared" si="4"/>
        <v>-2089.0742077608297</v>
      </c>
    </row>
    <row r="8" spans="1:13" x14ac:dyDescent="0.2">
      <c r="A8">
        <v>51</v>
      </c>
      <c r="B8">
        <v>132</v>
      </c>
      <c r="C8" s="5">
        <f t="shared" ref="C8:D33" si="5">H7</f>
        <v>1.012187654185368</v>
      </c>
      <c r="D8" s="5">
        <f t="shared" si="5"/>
        <v>1.4123060367780216</v>
      </c>
      <c r="E8" s="5">
        <f t="shared" ref="E8:E33" si="6">C8+D8*A8</f>
        <v>73.039795529864463</v>
      </c>
      <c r="F8" s="7">
        <f t="shared" si="0"/>
        <v>-117.92040894027107</v>
      </c>
      <c r="G8" s="7">
        <f t="shared" si="1"/>
        <v>-6013.9408559538251</v>
      </c>
      <c r="H8" s="3">
        <f t="shared" si="2"/>
        <v>1.0179785512158499</v>
      </c>
      <c r="I8" s="3">
        <f t="shared" si="3"/>
        <v>1.6604621240360344</v>
      </c>
      <c r="J8">
        <f t="shared" si="4"/>
        <v>-57.90897030481851</v>
      </c>
      <c r="K8">
        <f t="shared" si="4"/>
        <v>-2481.5608725801294</v>
      </c>
    </row>
    <row r="9" spans="1:13" x14ac:dyDescent="0.2">
      <c r="A9">
        <v>28</v>
      </c>
      <c r="B9">
        <v>86</v>
      </c>
      <c r="C9" s="5">
        <f t="shared" si="5"/>
        <v>1.0179785512158499</v>
      </c>
      <c r="D9" s="5">
        <f t="shared" si="5"/>
        <v>1.6604621240360344</v>
      </c>
      <c r="E9" s="5">
        <f t="shared" si="6"/>
        <v>47.510918024224814</v>
      </c>
      <c r="F9" s="7">
        <f t="shared" si="0"/>
        <v>-76.978163951550371</v>
      </c>
      <c r="G9" s="7">
        <f t="shared" si="1"/>
        <v>-2155.3885906434102</v>
      </c>
      <c r="H9" s="3">
        <f t="shared" si="2"/>
        <v>1.0239601401827991</v>
      </c>
      <c r="I9" s="3">
        <f t="shared" si="3"/>
        <v>1.9053564884746801</v>
      </c>
      <c r="J9">
        <f t="shared" si="4"/>
        <v>-59.815889669491696</v>
      </c>
      <c r="K9">
        <f t="shared" si="4"/>
        <v>-2448.9436443864574</v>
      </c>
    </row>
    <row r="10" spans="1:13" x14ac:dyDescent="0.2">
      <c r="A10">
        <v>29</v>
      </c>
      <c r="B10">
        <v>88</v>
      </c>
      <c r="C10" s="5">
        <f t="shared" si="5"/>
        <v>1.0239601401827991</v>
      </c>
      <c r="D10" s="5">
        <f t="shared" si="5"/>
        <v>1.9053564884746801</v>
      </c>
      <c r="E10" s="5">
        <f t="shared" si="6"/>
        <v>56.279298305948522</v>
      </c>
      <c r="F10" s="7">
        <f t="shared" si="0"/>
        <v>-63.441403388102955</v>
      </c>
      <c r="G10" s="7">
        <f t="shared" si="1"/>
        <v>-1839.8006982549857</v>
      </c>
      <c r="H10" s="3">
        <f t="shared" si="2"/>
        <v>1.0299779842869343</v>
      </c>
      <c r="I10" s="3">
        <f t="shared" si="3"/>
        <v>2.1441594234520109</v>
      </c>
      <c r="J10">
        <f t="shared" si="4"/>
        <v>-60.178441041352819</v>
      </c>
      <c r="K10">
        <f t="shared" si="4"/>
        <v>-2388.0293497733101</v>
      </c>
    </row>
    <row r="11" spans="1:13" x14ac:dyDescent="0.2">
      <c r="A11">
        <v>72</v>
      </c>
      <c r="B11">
        <v>174</v>
      </c>
      <c r="C11" s="5">
        <f t="shared" si="5"/>
        <v>1.0299779842869343</v>
      </c>
      <c r="D11" s="5">
        <f t="shared" si="5"/>
        <v>2.1441594234520109</v>
      </c>
      <c r="E11" s="5">
        <f t="shared" si="6"/>
        <v>155.40945647283172</v>
      </c>
      <c r="F11" s="7">
        <f t="shared" si="0"/>
        <v>-37.181087054336558</v>
      </c>
      <c r="G11" s="7">
        <f t="shared" si="1"/>
        <v>-2677.0382679122322</v>
      </c>
      <c r="H11" s="3">
        <f t="shared" si="2"/>
        <v>1.0357658548511994</v>
      </c>
      <c r="I11" s="3">
        <f t="shared" si="3"/>
        <v>2.385852447610731</v>
      </c>
      <c r="J11">
        <f t="shared" si="4"/>
        <v>-57.878705642651198</v>
      </c>
      <c r="K11">
        <f t="shared" si="4"/>
        <v>-2416.9302415872021</v>
      </c>
    </row>
    <row r="12" spans="1:13" x14ac:dyDescent="0.2">
      <c r="A12">
        <v>62</v>
      </c>
      <c r="B12">
        <v>154</v>
      </c>
      <c r="C12" s="5">
        <f t="shared" si="5"/>
        <v>1.0357658548511994</v>
      </c>
      <c r="D12" s="5">
        <f t="shared" si="5"/>
        <v>2.385852447610731</v>
      </c>
      <c r="E12" s="5">
        <f t="shared" si="6"/>
        <v>148.95861760671653</v>
      </c>
      <c r="F12" s="7">
        <f t="shared" si="0"/>
        <v>-10.082764786566941</v>
      </c>
      <c r="G12" s="7">
        <f t="shared" si="1"/>
        <v>-625.13141676715031</v>
      </c>
      <c r="H12" s="3">
        <f t="shared" si="2"/>
        <v>1.0410757660069037</v>
      </c>
      <c r="I12" s="3">
        <f t="shared" si="3"/>
        <v>2.6096274835212507</v>
      </c>
      <c r="J12">
        <f t="shared" si="4"/>
        <v>-53.099111557042775</v>
      </c>
      <c r="K12">
        <f t="shared" si="4"/>
        <v>-2237.7503591051968</v>
      </c>
    </row>
    <row r="13" spans="1:13" x14ac:dyDescent="0.2">
      <c r="A13">
        <v>84</v>
      </c>
      <c r="B13">
        <v>198</v>
      </c>
      <c r="C13" s="5">
        <f t="shared" si="5"/>
        <v>1.0410757660069037</v>
      </c>
      <c r="D13" s="5">
        <f t="shared" si="5"/>
        <v>2.6096274835212507</v>
      </c>
      <c r="E13" s="5">
        <f t="shared" si="6"/>
        <v>220.24978438179198</v>
      </c>
      <c r="F13" s="7">
        <f t="shared" si="0"/>
        <v>44.499568763583966</v>
      </c>
      <c r="G13" s="7">
        <f t="shared" si="1"/>
        <v>3737.9637761410531</v>
      </c>
      <c r="H13" s="3">
        <f t="shared" si="2"/>
        <v>1.0454096903594017</v>
      </c>
      <c r="I13" s="3">
        <f t="shared" si="3"/>
        <v>2.773645378079308</v>
      </c>
      <c r="J13">
        <f t="shared" si="4"/>
        <v>-43.339243524980105</v>
      </c>
      <c r="K13">
        <f t="shared" si="4"/>
        <v>-1640.178945580572</v>
      </c>
    </row>
    <row r="14" spans="1:13" x14ac:dyDescent="0.2">
      <c r="A14">
        <v>15</v>
      </c>
      <c r="B14">
        <v>60</v>
      </c>
      <c r="C14" s="5">
        <f t="shared" si="5"/>
        <v>1.0454096903594017</v>
      </c>
      <c r="D14" s="5">
        <f t="shared" si="5"/>
        <v>2.773645378079308</v>
      </c>
      <c r="E14" s="5">
        <f t="shared" si="6"/>
        <v>42.650090361549019</v>
      </c>
      <c r="F14" s="7">
        <f t="shared" si="0"/>
        <v>-34.699819276901962</v>
      </c>
      <c r="G14" s="7">
        <f t="shared" si="1"/>
        <v>-520.49728915352944</v>
      </c>
      <c r="H14" s="3">
        <f t="shared" si="2"/>
        <v>1.049657220469419</v>
      </c>
      <c r="I14" s="3">
        <f t="shared" si="3"/>
        <v>2.9264664560730949</v>
      </c>
      <c r="J14">
        <f t="shared" si="4"/>
        <v>-42.475301100172288</v>
      </c>
      <c r="K14">
        <f t="shared" si="4"/>
        <v>-1528.2107799378678</v>
      </c>
    </row>
    <row r="15" spans="1:13" x14ac:dyDescent="0.2">
      <c r="A15">
        <v>42</v>
      </c>
      <c r="B15">
        <v>114</v>
      </c>
      <c r="C15" s="5">
        <f t="shared" si="5"/>
        <v>1.049657220469419</v>
      </c>
      <c r="D15" s="5">
        <f t="shared" si="5"/>
        <v>2.9264664560730949</v>
      </c>
      <c r="E15" s="5">
        <f t="shared" si="6"/>
        <v>123.9612483755394</v>
      </c>
      <c r="F15" s="7">
        <f t="shared" si="0"/>
        <v>19.922496751078796</v>
      </c>
      <c r="G15" s="7">
        <f t="shared" si="1"/>
        <v>836.7448635453095</v>
      </c>
      <c r="H15" s="3">
        <f t="shared" si="2"/>
        <v>1.0532807726009237</v>
      </c>
      <c r="I15" s="3">
        <f t="shared" si="3"/>
        <v>3.0556379776320499</v>
      </c>
      <c r="J15">
        <f t="shared" si="4"/>
        <v>-36.23552131504718</v>
      </c>
      <c r="K15">
        <f t="shared" si="4"/>
        <v>-1291.7152155895501</v>
      </c>
    </row>
    <row r="16" spans="1:13" x14ac:dyDescent="0.2">
      <c r="A16">
        <v>62</v>
      </c>
      <c r="B16">
        <v>154</v>
      </c>
      <c r="C16" s="5">
        <f t="shared" si="5"/>
        <v>1.0532807726009237</v>
      </c>
      <c r="D16" s="5">
        <f>I15</f>
        <v>3.0556379776320499</v>
      </c>
      <c r="E16" s="5">
        <f t="shared" si="6"/>
        <v>190.50283538578802</v>
      </c>
      <c r="F16" s="7">
        <f t="shared" si="0"/>
        <v>73.005670771576035</v>
      </c>
      <c r="G16" s="7">
        <f t="shared" si="1"/>
        <v>4526.3515878377139</v>
      </c>
      <c r="H16" s="3">
        <f t="shared" si="2"/>
        <v>1.0558119128115622</v>
      </c>
      <c r="I16" s="3">
        <f t="shared" si="3"/>
        <v>3.1266288311567325</v>
      </c>
      <c r="J16">
        <f t="shared" si="4"/>
        <v>-25.311402106384861</v>
      </c>
      <c r="K16">
        <f t="shared" si="4"/>
        <v>-709.90853524682393</v>
      </c>
    </row>
    <row r="17" spans="1:11" x14ac:dyDescent="0.2">
      <c r="A17">
        <v>47</v>
      </c>
      <c r="B17">
        <v>124</v>
      </c>
      <c r="C17" s="5">
        <f t="shared" si="5"/>
        <v>1.0558119128115622</v>
      </c>
      <c r="D17" s="5">
        <f t="shared" si="5"/>
        <v>3.1266288311567325</v>
      </c>
      <c r="E17" s="5">
        <f t="shared" si="6"/>
        <v>148.00736697717798</v>
      </c>
      <c r="F17" s="7">
        <f t="shared" si="0"/>
        <v>48.014733954355961</v>
      </c>
      <c r="G17" s="7">
        <f t="shared" si="1"/>
        <v>2256.6924958547302</v>
      </c>
      <c r="H17" s="3">
        <f t="shared" si="2"/>
        <v>1.0576097916615932</v>
      </c>
      <c r="I17" s="3">
        <f t="shared" si="3"/>
        <v>3.1679536743703993</v>
      </c>
      <c r="J17">
        <f t="shared" si="4"/>
        <v>-17.978788500310777</v>
      </c>
      <c r="K17">
        <f t="shared" si="4"/>
        <v>-413.24843213666861</v>
      </c>
    </row>
    <row r="18" spans="1:11" x14ac:dyDescent="0.2">
      <c r="A18">
        <v>35</v>
      </c>
      <c r="B18">
        <v>100</v>
      </c>
      <c r="C18" s="5">
        <f t="shared" si="5"/>
        <v>1.0576097916615932</v>
      </c>
      <c r="D18" s="5">
        <f t="shared" si="5"/>
        <v>3.1679536743703993</v>
      </c>
      <c r="E18" s="5">
        <f t="shared" si="6"/>
        <v>111.93598839462557</v>
      </c>
      <c r="F18" s="7">
        <f t="shared" si="0"/>
        <v>23.871976789251136</v>
      </c>
      <c r="G18" s="7">
        <f t="shared" si="1"/>
        <v>835.51918762378978</v>
      </c>
      <c r="H18" s="3">
        <f t="shared" si="2"/>
        <v>1.0589891628587287</v>
      </c>
      <c r="I18" s="3">
        <f t="shared" si="3"/>
        <v>3.1967908413864614</v>
      </c>
      <c r="J18">
        <f t="shared" si="4"/>
        <v>-13.79371197135459</v>
      </c>
      <c r="K18">
        <f t="shared" si="4"/>
        <v>-288.37167016062278</v>
      </c>
    </row>
    <row r="19" spans="1:11" x14ac:dyDescent="0.2">
      <c r="A19">
        <v>9</v>
      </c>
      <c r="B19">
        <v>48</v>
      </c>
      <c r="C19" s="5">
        <f t="shared" si="5"/>
        <v>1.0589891628587287</v>
      </c>
      <c r="D19" s="5">
        <f t="shared" si="5"/>
        <v>3.1967908413864614</v>
      </c>
      <c r="E19" s="5">
        <f t="shared" si="6"/>
        <v>29.830106735336884</v>
      </c>
      <c r="F19" s="7">
        <f t="shared" si="0"/>
        <v>-36.339786529326233</v>
      </c>
      <c r="G19" s="7">
        <f t="shared" si="1"/>
        <v>-327.05807876393612</v>
      </c>
      <c r="H19" s="3">
        <f t="shared" si="2"/>
        <v>1.0605939948014438</v>
      </c>
      <c r="I19" s="3">
        <f t="shared" si="3"/>
        <v>3.2260148724885567</v>
      </c>
      <c r="J19">
        <f t="shared" si="4"/>
        <v>-16.048319427151753</v>
      </c>
      <c r="K19">
        <f t="shared" si="4"/>
        <v>-292.2403110209541</v>
      </c>
    </row>
    <row r="20" spans="1:11" x14ac:dyDescent="0.2">
      <c r="A20">
        <v>38</v>
      </c>
      <c r="B20">
        <v>106</v>
      </c>
      <c r="C20" s="5">
        <f t="shared" si="5"/>
        <v>1.0605939948014438</v>
      </c>
      <c r="D20" s="5">
        <f t="shared" si="5"/>
        <v>3.2260148724885567</v>
      </c>
      <c r="E20" s="5">
        <f t="shared" si="6"/>
        <v>123.6491591493666</v>
      </c>
      <c r="F20" s="7">
        <f t="shared" si="0"/>
        <v>35.298318298733193</v>
      </c>
      <c r="G20" s="7">
        <f t="shared" si="1"/>
        <v>1341.3360953518613</v>
      </c>
      <c r="H20" s="3">
        <f t="shared" si="2"/>
        <v>1.0616853603669001</v>
      </c>
      <c r="I20" s="3">
        <f t="shared" si="3"/>
        <v>3.2389031395269239</v>
      </c>
      <c r="J20">
        <f t="shared" si="4"/>
        <v>-10.913655654563261</v>
      </c>
      <c r="K20">
        <f t="shared" si="4"/>
        <v>-128.88267038367258</v>
      </c>
    </row>
    <row r="21" spans="1:11" x14ac:dyDescent="0.2">
      <c r="A21">
        <v>44</v>
      </c>
      <c r="B21">
        <v>118</v>
      </c>
      <c r="C21" s="5">
        <f t="shared" si="5"/>
        <v>1.0616853603669001</v>
      </c>
      <c r="D21" s="5">
        <f t="shared" si="5"/>
        <v>3.2389031395269239</v>
      </c>
      <c r="E21" s="5">
        <f t="shared" si="6"/>
        <v>143.57342349955155</v>
      </c>
      <c r="F21" s="7">
        <f t="shared" si="0"/>
        <v>51.146846999103104</v>
      </c>
      <c r="G21" s="7">
        <f t="shared" si="1"/>
        <v>2250.4612679605366</v>
      </c>
      <c r="H21" s="3">
        <f t="shared" si="2"/>
        <v>1.0621561209058197</v>
      </c>
      <c r="I21" s="3">
        <f t="shared" si="3"/>
        <v>3.2279979671818491</v>
      </c>
      <c r="J21">
        <f t="shared" si="4"/>
        <v>-4.7076053891966261</v>
      </c>
      <c r="K21">
        <f t="shared" si="4"/>
        <v>109.0517234507483</v>
      </c>
    </row>
    <row r="22" spans="1:11" x14ac:dyDescent="0.2">
      <c r="A22">
        <v>99</v>
      </c>
      <c r="B22">
        <v>228</v>
      </c>
      <c r="C22" s="5">
        <f t="shared" si="5"/>
        <v>1.0621561209058197</v>
      </c>
      <c r="D22" s="5">
        <f t="shared" si="5"/>
        <v>3.2279979671818491</v>
      </c>
      <c r="E22" s="5">
        <f t="shared" si="6"/>
        <v>320.63395487190883</v>
      </c>
      <c r="F22" s="7">
        <f t="shared" si="0"/>
        <v>185.26790974381765</v>
      </c>
      <c r="G22" s="7">
        <f t="shared" si="1"/>
        <v>18341.52306463795</v>
      </c>
      <c r="H22" s="3">
        <f t="shared" si="2"/>
        <v>1.0607271262934093</v>
      </c>
      <c r="I22" s="3">
        <f t="shared" si="3"/>
        <v>3.0347680814249021</v>
      </c>
      <c r="J22">
        <f t="shared" ref="J22:K33" si="7">J21*$J$1+$K$1*F22</f>
        <v>14.289946124104798</v>
      </c>
      <c r="K22">
        <f t="shared" si="7"/>
        <v>1932.2988575694681</v>
      </c>
    </row>
    <row r="23" spans="1:11" x14ac:dyDescent="0.2">
      <c r="A23">
        <v>13</v>
      </c>
      <c r="B23">
        <v>56</v>
      </c>
      <c r="C23" s="5">
        <f t="shared" si="5"/>
        <v>1.0607271262934093</v>
      </c>
      <c r="D23" s="5">
        <f t="shared" si="5"/>
        <v>3.0347680814249021</v>
      </c>
      <c r="E23" s="5">
        <f t="shared" si="6"/>
        <v>40.512712184817133</v>
      </c>
      <c r="F23" s="7">
        <f t="shared" si="0"/>
        <v>-30.974575630365734</v>
      </c>
      <c r="G23" s="7">
        <f t="shared" si="1"/>
        <v>-402.66948319475455</v>
      </c>
      <c r="H23" s="3">
        <f t="shared" si="2"/>
        <v>1.0597507768985435</v>
      </c>
      <c r="I23" s="3">
        <f t="shared" si="3"/>
        <v>2.8648878790755976</v>
      </c>
      <c r="J23">
        <f t="shared" si="7"/>
        <v>9.7634939486577466</v>
      </c>
      <c r="K23">
        <f t="shared" si="7"/>
        <v>1698.8020234930459</v>
      </c>
    </row>
    <row r="24" spans="1:11" x14ac:dyDescent="0.2">
      <c r="A24">
        <v>21</v>
      </c>
      <c r="B24">
        <v>72</v>
      </c>
      <c r="C24" s="5">
        <f t="shared" si="5"/>
        <v>1.0597507768985435</v>
      </c>
      <c r="D24" s="5">
        <f t="shared" si="5"/>
        <v>2.8648878790755976</v>
      </c>
      <c r="E24" s="5">
        <f t="shared" si="6"/>
        <v>61.222396237486095</v>
      </c>
      <c r="F24" s="7">
        <f t="shared" si="0"/>
        <v>-21.555207525027811</v>
      </c>
      <c r="G24" s="7">
        <f t="shared" si="1"/>
        <v>-452.65935802558403</v>
      </c>
      <c r="H24" s="3">
        <f t="shared" si="2"/>
        <v>1.0590876145184145</v>
      </c>
      <c r="I24" s="3">
        <f t="shared" si="3"/>
        <v>2.7165222905414792</v>
      </c>
      <c r="J24">
        <f t="shared" si="7"/>
        <v>6.6316238012891908</v>
      </c>
      <c r="K24">
        <f t="shared" si="7"/>
        <v>1483.655885341183</v>
      </c>
    </row>
    <row r="25" spans="1:11" x14ac:dyDescent="0.2">
      <c r="A25">
        <v>28</v>
      </c>
      <c r="B25">
        <v>86</v>
      </c>
      <c r="C25" s="5">
        <f t="shared" si="5"/>
        <v>1.0590876145184145</v>
      </c>
      <c r="D25" s="5">
        <f t="shared" si="5"/>
        <v>2.7165222905414792</v>
      </c>
      <c r="E25" s="5">
        <f t="shared" si="6"/>
        <v>77.121711749679832</v>
      </c>
      <c r="F25" s="7">
        <f t="shared" si="0"/>
        <v>-17.756576500640335</v>
      </c>
      <c r="G25" s="7">
        <f t="shared" si="1"/>
        <v>-497.18414201792939</v>
      </c>
      <c r="H25" s="3">
        <f t="shared" si="2"/>
        <v>1.0586683341413048</v>
      </c>
      <c r="I25" s="3">
        <f t="shared" si="3"/>
        <v>2.5879651022809522</v>
      </c>
      <c r="J25">
        <f t="shared" si="7"/>
        <v>4.1928037710962389</v>
      </c>
      <c r="K25">
        <f t="shared" si="7"/>
        <v>1285.5718826052719</v>
      </c>
    </row>
    <row r="26" spans="1:11" x14ac:dyDescent="0.2">
      <c r="A26">
        <v>20</v>
      </c>
      <c r="B26">
        <v>70</v>
      </c>
      <c r="C26" s="5">
        <f t="shared" si="5"/>
        <v>1.0586683341413048</v>
      </c>
      <c r="D26" s="5">
        <f t="shared" si="5"/>
        <v>2.5879651022809522</v>
      </c>
      <c r="E26" s="5">
        <f t="shared" si="6"/>
        <v>52.817970379760347</v>
      </c>
      <c r="F26" s="7">
        <f t="shared" si="0"/>
        <v>-34.364059240479307</v>
      </c>
      <c r="G26" s="7">
        <f t="shared" si="1"/>
        <v>-687.28118480958619</v>
      </c>
      <c r="H26" s="3">
        <f t="shared" si="2"/>
        <v>1.0586346223943108</v>
      </c>
      <c r="I26" s="3">
        <f t="shared" si="3"/>
        <v>2.4791364446945736</v>
      </c>
      <c r="J26">
        <f t="shared" si="7"/>
        <v>0.33711746993868541</v>
      </c>
      <c r="K26">
        <f t="shared" si="7"/>
        <v>1088.2865758637861</v>
      </c>
    </row>
    <row r="27" spans="1:11" x14ac:dyDescent="0.2">
      <c r="A27">
        <v>8</v>
      </c>
      <c r="B27">
        <v>46</v>
      </c>
      <c r="C27" s="5">
        <f t="shared" si="5"/>
        <v>1.0586346223943108</v>
      </c>
      <c r="D27" s="5">
        <f t="shared" si="5"/>
        <v>2.4791364446945736</v>
      </c>
      <c r="E27" s="5">
        <f t="shared" si="6"/>
        <v>20.891726179950901</v>
      </c>
      <c r="F27" s="7">
        <f t="shared" si="0"/>
        <v>-50.216547640098199</v>
      </c>
      <c r="G27" s="7">
        <f t="shared" si="1"/>
        <v>-401.73238112078559</v>
      </c>
      <c r="H27" s="3">
        <f t="shared" si="2"/>
        <v>1.0591064472984173</v>
      </c>
      <c r="I27" s="3">
        <f t="shared" si="3"/>
        <v>2.3852079766780405</v>
      </c>
      <c r="J27">
        <f t="shared" si="7"/>
        <v>-4.7182490410650022</v>
      </c>
      <c r="K27">
        <f t="shared" si="7"/>
        <v>939.28468016532895</v>
      </c>
    </row>
    <row r="28" spans="1:11" x14ac:dyDescent="0.2">
      <c r="A28">
        <v>64</v>
      </c>
      <c r="B28">
        <v>158</v>
      </c>
      <c r="C28" s="5">
        <f t="shared" si="5"/>
        <v>1.0591064472984173</v>
      </c>
      <c r="D28" s="5">
        <f t="shared" si="5"/>
        <v>2.3852079766780405</v>
      </c>
      <c r="E28" s="5">
        <f t="shared" si="6"/>
        <v>153.712416954693</v>
      </c>
      <c r="F28" s="7">
        <f t="shared" si="0"/>
        <v>-8.5751660906140046</v>
      </c>
      <c r="G28" s="7">
        <f t="shared" si="1"/>
        <v>-548.81062979929629</v>
      </c>
      <c r="H28" s="3">
        <f t="shared" si="2"/>
        <v>1.0596168413730194</v>
      </c>
      <c r="I28" s="3">
        <f t="shared" si="3"/>
        <v>2.306160461761154</v>
      </c>
      <c r="J28">
        <f t="shared" si="7"/>
        <v>-5.1039407460199024</v>
      </c>
      <c r="K28">
        <f t="shared" si="7"/>
        <v>790.47514916886644</v>
      </c>
    </row>
    <row r="29" spans="1:11" x14ac:dyDescent="0.2">
      <c r="A29">
        <v>99</v>
      </c>
      <c r="B29">
        <v>228</v>
      </c>
      <c r="C29" s="5">
        <f t="shared" si="5"/>
        <v>1.0596168413730194</v>
      </c>
      <c r="D29" s="5">
        <f t="shared" si="5"/>
        <v>2.306160461761154</v>
      </c>
      <c r="E29" s="5">
        <f t="shared" si="6"/>
        <v>229.36950255572725</v>
      </c>
      <c r="F29" s="7">
        <f t="shared" si="0"/>
        <v>2.7390051114545031</v>
      </c>
      <c r="G29" s="7">
        <f t="shared" si="1"/>
        <v>271.16150603399581</v>
      </c>
      <c r="H29" s="3">
        <f t="shared" si="2"/>
        <v>1.0600488059890467</v>
      </c>
      <c r="I29" s="3">
        <f t="shared" si="3"/>
        <v>2.2323060832756161</v>
      </c>
      <c r="J29">
        <f t="shared" si="7"/>
        <v>-4.3196461602724616</v>
      </c>
      <c r="K29">
        <f t="shared" si="7"/>
        <v>738.54378485537939</v>
      </c>
    </row>
    <row r="30" spans="1:11" x14ac:dyDescent="0.2">
      <c r="A30">
        <v>70</v>
      </c>
      <c r="B30">
        <v>170</v>
      </c>
      <c r="C30" s="5">
        <f t="shared" si="5"/>
        <v>1.0600488059890467</v>
      </c>
      <c r="D30" s="5">
        <f t="shared" si="5"/>
        <v>2.2323060832756161</v>
      </c>
      <c r="E30" s="5">
        <f t="shared" si="6"/>
        <v>157.32147463528219</v>
      </c>
      <c r="F30" s="7">
        <f t="shared" si="0"/>
        <v>-25.357050729435628</v>
      </c>
      <c r="G30" s="7">
        <f t="shared" si="1"/>
        <v>-1774.9935510604939</v>
      </c>
      <c r="H30" s="3">
        <f t="shared" si="2"/>
        <v>1.0606911446507656</v>
      </c>
      <c r="I30" s="3">
        <f t="shared" si="3"/>
        <v>2.183587078149237</v>
      </c>
      <c r="J30">
        <f t="shared" si="7"/>
        <v>-6.4233866171887781</v>
      </c>
      <c r="K30">
        <f t="shared" si="7"/>
        <v>487.19005126379204</v>
      </c>
    </row>
    <row r="31" spans="1:11" x14ac:dyDescent="0.2">
      <c r="A31">
        <v>27</v>
      </c>
      <c r="B31">
        <v>84</v>
      </c>
      <c r="C31" s="5">
        <f t="shared" si="5"/>
        <v>1.0606911446507656</v>
      </c>
      <c r="D31" s="5">
        <f t="shared" si="5"/>
        <v>2.183587078149237</v>
      </c>
      <c r="E31" s="5">
        <f t="shared" si="6"/>
        <v>60.017542254680166</v>
      </c>
      <c r="F31" s="7">
        <f t="shared" si="0"/>
        <v>-47.964915490639669</v>
      </c>
      <c r="G31" s="7">
        <f t="shared" si="1"/>
        <v>-1295.0527182472711</v>
      </c>
      <c r="H31" s="3">
        <f t="shared" si="2"/>
        <v>1.0617488986012191</v>
      </c>
      <c r="I31" s="3">
        <f t="shared" si="3"/>
        <v>2.1526905007179686</v>
      </c>
      <c r="J31">
        <f t="shared" si="7"/>
        <v>-10.577539504533867</v>
      </c>
      <c r="K31">
        <f t="shared" si="7"/>
        <v>308.96577431268577</v>
      </c>
    </row>
    <row r="32" spans="1:11" x14ac:dyDescent="0.2">
      <c r="A32">
        <v>17</v>
      </c>
      <c r="B32">
        <v>64</v>
      </c>
      <c r="C32" s="5">
        <f t="shared" si="5"/>
        <v>1.0617488986012191</v>
      </c>
      <c r="D32" s="5">
        <f t="shared" si="5"/>
        <v>2.1526905007179686</v>
      </c>
      <c r="E32" s="5">
        <f t="shared" si="6"/>
        <v>37.657487410806681</v>
      </c>
      <c r="F32" s="7">
        <f t="shared" si="0"/>
        <v>-52.685025178386638</v>
      </c>
      <c r="G32" s="7">
        <f t="shared" si="1"/>
        <v>-895.64542803257291</v>
      </c>
      <c r="H32" s="3">
        <f t="shared" si="2"/>
        <v>1.063227727408411</v>
      </c>
      <c r="I32" s="3">
        <f t="shared" si="3"/>
        <v>2.1338400353101528</v>
      </c>
      <c r="J32">
        <f t="shared" si="7"/>
        <v>-14.788288071919142</v>
      </c>
      <c r="K32">
        <f t="shared" si="7"/>
        <v>188.50465407815994</v>
      </c>
    </row>
    <row r="33" spans="1:13" x14ac:dyDescent="0.2">
      <c r="A33">
        <v>8</v>
      </c>
      <c r="B33">
        <v>46</v>
      </c>
      <c r="C33" s="5">
        <f t="shared" si="5"/>
        <v>1.063227727408411</v>
      </c>
      <c r="D33" s="5">
        <f t="shared" si="5"/>
        <v>2.1338400353101528</v>
      </c>
      <c r="E33" s="5">
        <f t="shared" si="6"/>
        <v>18.133948009889632</v>
      </c>
      <c r="F33" s="7">
        <f t="shared" si="0"/>
        <v>-55.732103980220735</v>
      </c>
      <c r="G33" s="7">
        <f t="shared" si="1"/>
        <v>-445.85683184176588</v>
      </c>
      <c r="H33" s="3">
        <f t="shared" si="2"/>
        <v>1.065115994374686</v>
      </c>
      <c r="I33" s="3">
        <f t="shared" si="3"/>
        <v>2.1213331847615362</v>
      </c>
      <c r="J33">
        <f t="shared" si="7"/>
        <v>-18.882669662749301</v>
      </c>
      <c r="K33">
        <f t="shared" si="7"/>
        <v>125.06850548616737</v>
      </c>
    </row>
    <row r="34" spans="1:13" x14ac:dyDescent="0.2">
      <c r="A34" s="7"/>
      <c r="B34" s="7"/>
      <c r="H34" s="3"/>
      <c r="J34">
        <v>-18.333926690207889</v>
      </c>
      <c r="K34">
        <v>98.245830392128539</v>
      </c>
      <c r="M34"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2</xdr:row>
                    <xdr:rowOff>12700</xdr:rowOff>
                  </from>
                  <to>
                    <xdr:col>0</xdr:col>
                    <xdr:colOff>635000</xdr:colOff>
                    <xdr:row>2</xdr:row>
                    <xdr:rowOff>177800</xdr:rowOff>
                  </to>
                </anchor>
              </controlPr>
            </control>
          </mc:Choice>
        </mc:AlternateContent>
        <mc:AlternateContent xmlns:mc="http://schemas.openxmlformats.org/markup-compatibility/2006">
          <mc:Choice Requires="x14">
            <control shapeId="47108" r:id="rId5" name="Button 4">
              <controlPr defaultSize="0" print="0" autoFill="0" autoPict="0" macro="[0]!momentum.onestep" altText="run 1">
                <anchor moveWithCells="1" sizeWithCells="1">
                  <from>
                    <xdr:col>0</xdr:col>
                    <xdr:colOff>38100</xdr:colOff>
                    <xdr:row>1</xdr:row>
                    <xdr:rowOff>38100</xdr:rowOff>
                  </from>
                  <to>
                    <xdr:col>0</xdr:col>
                    <xdr:colOff>622300</xdr:colOff>
                    <xdr:row>2</xdr:row>
                    <xdr:rowOff>12700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22095-BE1A-2F4A-AAEB-6DBF19B97B1F}">
  <sheetPr codeName="basic5"/>
  <dimension ref="A1:AB115"/>
  <sheetViews>
    <sheetView topLeftCell="N1" zoomScaleNormal="100" workbookViewId="0">
      <selection activeCell="AB5" sqref="AB5"/>
    </sheetView>
  </sheetViews>
  <sheetFormatPr baseColWidth="10" defaultColWidth="8.83203125" defaultRowHeight="15" x14ac:dyDescent="0.2"/>
  <cols>
    <col min="1" max="1" width="13.6640625" style="30" customWidth="1"/>
    <col min="2" max="2" width="13.83203125" style="30" customWidth="1"/>
    <col min="3" max="3" width="10.83203125" style="30" customWidth="1"/>
    <col min="4" max="4" width="13" style="30" customWidth="1"/>
    <col min="5" max="5" width="13.5" style="30" customWidth="1"/>
    <col min="6" max="6" width="12.6640625" style="30" bestFit="1" customWidth="1"/>
    <col min="7" max="7" width="17.83203125" style="30" bestFit="1" customWidth="1"/>
    <col min="8" max="8" width="22.6640625" style="30" bestFit="1" customWidth="1"/>
    <col min="9" max="9" width="28.5" style="30" bestFit="1" customWidth="1"/>
    <col min="10" max="10" width="12.83203125" style="30" bestFit="1" customWidth="1"/>
    <col min="11" max="11" width="30.33203125" style="30" bestFit="1" customWidth="1"/>
    <col min="12" max="12" width="77.1640625" style="30" bestFit="1" customWidth="1"/>
    <col min="13" max="13" width="27.83203125" style="30" bestFit="1" customWidth="1"/>
    <col min="14" max="14" width="25" style="30" customWidth="1"/>
    <col min="15" max="15" width="10.33203125" style="30" customWidth="1"/>
    <col min="16" max="16" width="13.1640625" style="30" customWidth="1"/>
    <col min="17" max="17" width="9.1640625" style="30" hidden="1" customWidth="1"/>
    <col min="18" max="18" width="11.1640625" style="30" hidden="1" customWidth="1"/>
    <col min="19" max="19" width="9.1640625" style="30" hidden="1" customWidth="1"/>
    <col min="20" max="20" width="8.1640625" style="30" hidden="1" customWidth="1"/>
    <col min="21" max="21" width="10.33203125" style="30" hidden="1" customWidth="1"/>
    <col min="22" max="22" width="12.33203125" style="30" hidden="1" customWidth="1"/>
    <col min="23" max="23" width="23.5" style="30" customWidth="1"/>
    <col min="24" max="25" width="18.83203125" style="30" customWidth="1"/>
    <col min="26" max="26" width="20.33203125" style="30" customWidth="1"/>
    <col min="27" max="27" width="9.6640625" style="30" customWidth="1"/>
    <col min="28" max="16384" width="8.83203125" style="30"/>
  </cols>
  <sheetData>
    <row r="1" spans="1:28" ht="17.5" customHeight="1" x14ac:dyDescent="0.2">
      <c r="B1" s="30" t="s">
        <v>105</v>
      </c>
      <c r="C1" s="30">
        <v>0.9751059871064256</v>
      </c>
      <c r="D1" s="30">
        <v>1.4674946268375486</v>
      </c>
      <c r="G1" s="30" t="s">
        <v>14</v>
      </c>
      <c r="H1" s="30">
        <v>1E-4</v>
      </c>
      <c r="J1" s="30" t="s">
        <v>103</v>
      </c>
      <c r="K1" s="27" t="s">
        <v>113</v>
      </c>
      <c r="L1" s="30" t="s">
        <v>119</v>
      </c>
      <c r="AB1" s="30" t="s">
        <v>92</v>
      </c>
    </row>
    <row r="2" spans="1:28" ht="17.5" customHeight="1" x14ac:dyDescent="0.2">
      <c r="B2" s="30" t="s">
        <v>104</v>
      </c>
      <c r="C2" s="30">
        <v>-1.3890092551741551</v>
      </c>
      <c r="D2" s="30">
        <v>-1.3231317858487548</v>
      </c>
      <c r="J2" s="30" t="s">
        <v>102</v>
      </c>
      <c r="K2" s="30" t="s">
        <v>108</v>
      </c>
      <c r="L2" s="30" t="s">
        <v>107</v>
      </c>
    </row>
    <row r="3" spans="1:28" ht="17.5" customHeight="1" x14ac:dyDescent="0.2">
      <c r="V3" s="30" t="s">
        <v>24</v>
      </c>
      <c r="W3" s="30">
        <f>1-X3</f>
        <v>9.9999999999999978E-2</v>
      </c>
      <c r="X3" s="30">
        <v>0.9</v>
      </c>
      <c r="AB3" s="30" t="s">
        <v>137</v>
      </c>
    </row>
    <row r="4" spans="1:28" ht="17.5" customHeight="1" x14ac:dyDescent="0.2">
      <c r="S4" s="31" t="s">
        <v>124</v>
      </c>
      <c r="AB4" s="4" t="s">
        <v>138</v>
      </c>
    </row>
    <row r="5" spans="1:28" ht="17.5" customHeight="1" x14ac:dyDescent="0.2">
      <c r="B5" s="30" t="s">
        <v>108</v>
      </c>
      <c r="G5" s="27" t="s">
        <v>113</v>
      </c>
      <c r="H5" s="30" t="s">
        <v>114</v>
      </c>
      <c r="I5" s="30" t="s">
        <v>115</v>
      </c>
      <c r="K5" s="30" t="s">
        <v>116</v>
      </c>
      <c r="M5" s="30" t="s">
        <v>117</v>
      </c>
      <c r="O5" s="30" t="s">
        <v>118</v>
      </c>
      <c r="U5" s="30" t="s">
        <v>111</v>
      </c>
      <c r="V5" s="30" t="s">
        <v>112</v>
      </c>
      <c r="W5" s="2" t="s">
        <v>127</v>
      </c>
      <c r="X5" s="2" t="s">
        <v>126</v>
      </c>
      <c r="Y5" s="2" t="s">
        <v>128</v>
      </c>
      <c r="Z5" s="2" t="s">
        <v>129</v>
      </c>
      <c r="AB5" s="4" t="s">
        <v>139</v>
      </c>
    </row>
    <row r="6" spans="1:28"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W6" s="30">
        <f>W36</f>
        <v>116.39447100519247</v>
      </c>
      <c r="X6" s="30">
        <f>X36</f>
        <v>1.120329444622602</v>
      </c>
      <c r="Y6" s="30">
        <f>Y36</f>
        <v>112.18363739026442</v>
      </c>
      <c r="Z6" s="30">
        <f>Z36</f>
        <v>-202.34226255832377</v>
      </c>
    </row>
    <row r="7" spans="1:28" x14ac:dyDescent="0.2">
      <c r="A7" s="30">
        <v>14</v>
      </c>
      <c r="B7" s="30">
        <v>58</v>
      </c>
      <c r="C7" s="30">
        <f>C1</f>
        <v>0.9751059871064256</v>
      </c>
      <c r="D7" s="30">
        <f>C2</f>
        <v>-1.3890092551741551</v>
      </c>
      <c r="E7" s="30">
        <f>const2</f>
        <v>1.4674946268375486</v>
      </c>
      <c r="F7" s="30">
        <f>slope2</f>
        <v>-1.3231317858487548</v>
      </c>
      <c r="G7" s="30">
        <f>MAX(0, (D7*A7+C7))*F7+E7</f>
        <v>1.4674946268375486</v>
      </c>
      <c r="H7" s="1">
        <f>(B7-G7)^2</f>
        <v>3195.9241637666414</v>
      </c>
      <c r="I7" s="3">
        <f>(MAX(0, (D7*A7+(C7+0.01)))*F7+E7-B7)^2</f>
        <v>3195.9241637666414</v>
      </c>
      <c r="J7" s="3">
        <f>(I7-H7)/0.01</f>
        <v>0</v>
      </c>
      <c r="K7" s="3">
        <f>(MAX(0, ((D7+0.01)*A7+C7))*F7+E7-B7)^2</f>
        <v>3195.9241637666414</v>
      </c>
      <c r="L7" s="3">
        <f>(K7-H7)/0.01</f>
        <v>0</v>
      </c>
      <c r="M7" s="30">
        <f>(MAX(0, (D7*A7+C7))*F7+(E7+0.01)-B7)^2</f>
        <v>3194.7936136591784</v>
      </c>
      <c r="N7" s="30">
        <f>(M7-H7)/0.01</f>
        <v>-113.05501074630229</v>
      </c>
      <c r="O7" s="30">
        <f>(MAX(0, (D7*A7+C7))*(F7+0.01)+E7-B7)^2</f>
        <v>3195.9241637666414</v>
      </c>
      <c r="P7" s="30">
        <f>(O7-H7)/0.01</f>
        <v>0</v>
      </c>
      <c r="Q7" s="3">
        <f>D7-W7*$H$1</f>
        <v>-1.3994847575646223</v>
      </c>
      <c r="R7" s="3">
        <f>C7-X7*$H$1</f>
        <v>0.97500515745640959</v>
      </c>
      <c r="S7" s="7">
        <f>F7-Y7*$H$1</f>
        <v>-1.3332283132138787</v>
      </c>
      <c r="T7" s="7">
        <f>E7-Z7*$H$1</f>
        <v>1.4868359805752607</v>
      </c>
      <c r="U7" s="7">
        <f>Q7*S7</f>
        <v>1.8658327026964154</v>
      </c>
      <c r="V7" s="7">
        <f>S7*R7+T7</f>
        <v>0.18693149912481943</v>
      </c>
      <c r="W7" s="30">
        <f>$W$3*L7 + $X$3*W6</f>
        <v>104.75502390467322</v>
      </c>
      <c r="X7" s="30">
        <f>$W$3*J7+$X$3*X6</f>
        <v>1.0082965001603419</v>
      </c>
      <c r="Y7" s="30">
        <f>$W$3*P7+$X$3*Y6</f>
        <v>100.96527365123798</v>
      </c>
      <c r="Z7" s="30">
        <f>$W$3*N7+$X$3*Z6</f>
        <v>-193.41353737712163</v>
      </c>
      <c r="AA7" s="3"/>
    </row>
    <row r="8" spans="1:28" x14ac:dyDescent="0.2">
      <c r="A8" s="30">
        <v>86</v>
      </c>
      <c r="B8" s="30">
        <v>202</v>
      </c>
      <c r="C8" s="3">
        <f>R7</f>
        <v>0.97500515745640959</v>
      </c>
      <c r="D8" s="30">
        <f>Q7</f>
        <v>-1.3994847575646223</v>
      </c>
      <c r="E8" s="30">
        <f>T7</f>
        <v>1.4868359805752607</v>
      </c>
      <c r="F8" s="30">
        <f>S7</f>
        <v>-1.3332283132138787</v>
      </c>
      <c r="G8" s="30">
        <f t="shared" ref="G8:G35" si="0">MAX(0, (D8*A8+C8))*F8+E8</f>
        <v>1.4868359805752607</v>
      </c>
      <c r="H8" s="1">
        <f>(B8-G8)^2</f>
        <v>40205.528945080732</v>
      </c>
      <c r="I8" s="3">
        <f t="shared" ref="I8:I35" si="1">(MAX(0, (D8*A8+(C8+0.01)))*F8+E8-B8)^2</f>
        <v>40205.528945080732</v>
      </c>
      <c r="J8" s="3">
        <f>(I8-H8)/0.01</f>
        <v>0</v>
      </c>
      <c r="K8" s="3">
        <f t="shared" ref="K8:K35" si="2">(MAX(0, ((D8+0.01)*A8+C8))*F8+E8-B8)^2</f>
        <v>40205.528945080732</v>
      </c>
      <c r="L8" s="3">
        <f>(K8-H8)/0.01</f>
        <v>0</v>
      </c>
      <c r="M8" s="30">
        <f t="shared" ref="M8:M35" si="3">(MAX(0, (D8*A8+C8))*F8+(E8+0.01)-B8)^2</f>
        <v>40201.518781800332</v>
      </c>
      <c r="N8" s="30">
        <f>(M8-H8)/0.01</f>
        <v>-401.01632803998655</v>
      </c>
      <c r="O8" s="30">
        <f t="shared" ref="O8:O35" si="4">(MAX(0, (D8*A8+C8))*(F8+0.01)+E8-B8)^2</f>
        <v>40205.528945080732</v>
      </c>
      <c r="P8" s="30">
        <f>(O8-H8)/0.01</f>
        <v>0</v>
      </c>
      <c r="Q8" s="3">
        <f t="shared" ref="Q8:Q35" si="5">D8-W8*$H$1</f>
        <v>-1.408912709716043</v>
      </c>
      <c r="R8" s="3">
        <f t="shared" ref="R8:R35" si="6">C8-X8*$H$1</f>
        <v>0.97491441077139518</v>
      </c>
      <c r="S8" s="7">
        <f t="shared" ref="S8:S35" si="7">F8-Y8*$H$1</f>
        <v>-1.3423151878424902</v>
      </c>
      <c r="T8" s="7">
        <f t="shared" ref="T8:T35" si="8">E8-Z8*$H$1</f>
        <v>1.5082533622196015</v>
      </c>
      <c r="U8" s="7">
        <f t="shared" ref="U8:U35" si="9">Q8*S8</f>
        <v>1.8912049285961621</v>
      </c>
      <c r="V8" s="7">
        <f t="shared" ref="V8:V35" si="10">S8*R8+T8</f>
        <v>0.19961094179464567</v>
      </c>
      <c r="W8" s="30">
        <f t="shared" ref="W8:W35" si="11">$W$3*L8 + $X$3*W7</f>
        <v>94.279521514205896</v>
      </c>
      <c r="X8" s="30">
        <f t="shared" ref="X8:X35" si="12">$W$3*J8+$X$3*X7</f>
        <v>0.90746685014430772</v>
      </c>
      <c r="Y8" s="30">
        <f t="shared" ref="Y8:Y35" si="13">$W$3*P8+$X$3*Y7</f>
        <v>90.868746286114188</v>
      </c>
      <c r="Z8" s="30">
        <f t="shared" ref="Z8:Z35" si="14">$W$3*N8+$X$3*Z7</f>
        <v>-214.17381644340813</v>
      </c>
      <c r="AA8" s="3"/>
    </row>
    <row r="9" spans="1:28" x14ac:dyDescent="0.2">
      <c r="A9" s="30">
        <v>28</v>
      </c>
      <c r="B9" s="30">
        <v>86</v>
      </c>
      <c r="C9" s="3">
        <f t="shared" ref="C9:C35" si="15">R8</f>
        <v>0.97491441077139518</v>
      </c>
      <c r="D9" s="30">
        <f t="shared" ref="D9:D10" si="16">Q8</f>
        <v>-1.408912709716043</v>
      </c>
      <c r="E9" s="30">
        <f t="shared" ref="E9:E10" si="17">T8</f>
        <v>1.5082533622196015</v>
      </c>
      <c r="F9" s="30">
        <f t="shared" ref="F9:F10" si="18">S8</f>
        <v>-1.3423151878424902</v>
      </c>
      <c r="G9" s="30">
        <f t="shared" si="0"/>
        <v>1.5082533622196015</v>
      </c>
      <c r="H9" s="1">
        <f t="shared" ref="H9:H10" si="19">(B9-G9)^2</f>
        <v>7138.8552499028747</v>
      </c>
      <c r="I9" s="3">
        <f t="shared" si="1"/>
        <v>7138.8552499028747</v>
      </c>
      <c r="J9" s="3">
        <f t="shared" ref="J9:J10" si="20">(I9-H9)/0.01</f>
        <v>0</v>
      </c>
      <c r="K9" s="3">
        <f t="shared" si="2"/>
        <v>7138.8552499028747</v>
      </c>
      <c r="L9" s="3">
        <f t="shared" ref="L9:L10" si="21">(K9-H9)/0.01</f>
        <v>0</v>
      </c>
      <c r="M9" s="30">
        <f t="shared" si="3"/>
        <v>7137.165514970121</v>
      </c>
      <c r="N9" s="30">
        <f t="shared" ref="N9:N10" si="22">(M9-H9)/0.01</f>
        <v>-168.97349327537086</v>
      </c>
      <c r="O9" s="30">
        <f t="shared" si="4"/>
        <v>7138.8552499028747</v>
      </c>
      <c r="P9" s="30">
        <f t="shared" ref="P9:P10" si="23">(O9-H9)/0.01</f>
        <v>0</v>
      </c>
      <c r="Q9" s="3">
        <f t="shared" si="5"/>
        <v>-1.4173978666523215</v>
      </c>
      <c r="R9" s="3">
        <f t="shared" si="6"/>
        <v>0.97483273875488219</v>
      </c>
      <c r="S9" s="7">
        <f t="shared" si="7"/>
        <v>-1.3504933750082404</v>
      </c>
      <c r="T9" s="7">
        <f t="shared" si="8"/>
        <v>1.5292187406322619</v>
      </c>
      <c r="U9" s="7">
        <f t="shared" si="9"/>
        <v>1.9141864286647736</v>
      </c>
      <c r="V9" s="7">
        <f t="shared" si="10"/>
        <v>0.21271358520265471</v>
      </c>
      <c r="W9" s="30">
        <f t="shared" si="11"/>
        <v>84.851569362785312</v>
      </c>
      <c r="X9" s="30">
        <f t="shared" si="12"/>
        <v>0.816720165129877</v>
      </c>
      <c r="Y9" s="30">
        <f t="shared" si="13"/>
        <v>81.781871657502776</v>
      </c>
      <c r="Z9" s="30">
        <f t="shared" si="14"/>
        <v>-209.65378412660439</v>
      </c>
      <c r="AA9" s="3"/>
    </row>
    <row r="10" spans="1:28" x14ac:dyDescent="0.2">
      <c r="A10" s="30">
        <v>51</v>
      </c>
      <c r="B10" s="30">
        <v>132</v>
      </c>
      <c r="C10" s="3">
        <f t="shared" si="15"/>
        <v>0.97483273875488219</v>
      </c>
      <c r="D10" s="30">
        <f t="shared" si="16"/>
        <v>-1.4173978666523215</v>
      </c>
      <c r="E10" s="30">
        <f t="shared" si="17"/>
        <v>1.5292187406322619</v>
      </c>
      <c r="F10" s="30">
        <f t="shared" si="18"/>
        <v>-1.3504933750082404</v>
      </c>
      <c r="G10" s="30">
        <f t="shared" si="0"/>
        <v>1.5292187406322619</v>
      </c>
      <c r="H10" s="1">
        <f t="shared" si="19"/>
        <v>17022.624762429779</v>
      </c>
      <c r="I10" s="3">
        <f t="shared" si="1"/>
        <v>17022.624762429779</v>
      </c>
      <c r="J10" s="3">
        <f t="shared" si="20"/>
        <v>0</v>
      </c>
      <c r="K10" s="3">
        <f t="shared" si="2"/>
        <v>17022.624762429779</v>
      </c>
      <c r="L10" s="3">
        <f t="shared" si="21"/>
        <v>0</v>
      </c>
      <c r="M10" s="30">
        <f t="shared" si="3"/>
        <v>17020.015446804595</v>
      </c>
      <c r="N10" s="30">
        <f t="shared" si="22"/>
        <v>-260.93156251845357</v>
      </c>
      <c r="O10" s="30">
        <f t="shared" si="4"/>
        <v>17022.624762429779</v>
      </c>
      <c r="P10" s="30">
        <f t="shared" si="23"/>
        <v>0</v>
      </c>
      <c r="Q10" s="3">
        <f t="shared" si="5"/>
        <v>-1.4250345078949722</v>
      </c>
      <c r="R10" s="3">
        <f t="shared" si="6"/>
        <v>0.97475923394002051</v>
      </c>
      <c r="S10" s="7">
        <f t="shared" si="7"/>
        <v>-1.3578537434574156</v>
      </c>
      <c r="T10" s="7">
        <f t="shared" si="8"/>
        <v>1.5506968968288408</v>
      </c>
      <c r="U10" s="7">
        <f t="shared" si="9"/>
        <v>1.9349884411011842</v>
      </c>
      <c r="V10" s="7">
        <f t="shared" si="10"/>
        <v>0.22711642205370119</v>
      </c>
      <c r="W10" s="30">
        <f t="shared" si="11"/>
        <v>76.366412426506784</v>
      </c>
      <c r="X10" s="30">
        <f t="shared" si="12"/>
        <v>0.73504814861688927</v>
      </c>
      <c r="Y10" s="30">
        <f t="shared" si="13"/>
        <v>73.603684491752503</v>
      </c>
      <c r="Z10" s="30">
        <f t="shared" si="14"/>
        <v>-214.78156196578931</v>
      </c>
      <c r="AA10" s="3"/>
    </row>
    <row r="11" spans="1:28" x14ac:dyDescent="0.2">
      <c r="A11" s="30">
        <v>28</v>
      </c>
      <c r="B11" s="30">
        <v>86</v>
      </c>
      <c r="C11" s="3">
        <f t="shared" si="15"/>
        <v>0.97475923394002051</v>
      </c>
      <c r="D11" s="30">
        <f>Q10</f>
        <v>-1.4250345078949722</v>
      </c>
      <c r="E11" s="30">
        <f>T10</f>
        <v>1.5506968968288408</v>
      </c>
      <c r="F11" s="30">
        <f>S10</f>
        <v>-1.3578537434574156</v>
      </c>
      <c r="G11" s="30">
        <f t="shared" si="0"/>
        <v>1.5506968968288408</v>
      </c>
      <c r="H11" s="1">
        <f>(B11-G11)^2</f>
        <v>7131.6847946112739</v>
      </c>
      <c r="I11" s="3">
        <f t="shared" si="1"/>
        <v>7131.6847946112739</v>
      </c>
      <c r="J11" s="3">
        <f>(I11-H11)/0.01</f>
        <v>0</v>
      </c>
      <c r="K11" s="3">
        <f t="shared" si="2"/>
        <v>7131.6847946112739</v>
      </c>
      <c r="L11" s="3">
        <f>(K11-H11)/0.01</f>
        <v>0</v>
      </c>
      <c r="M11" s="30">
        <f t="shared" si="3"/>
        <v>7129.9959085492101</v>
      </c>
      <c r="N11" s="30">
        <f>(M11-H11)/0.01</f>
        <v>-168.88860620638297</v>
      </c>
      <c r="O11" s="30">
        <f t="shared" si="4"/>
        <v>7131.6847946112739</v>
      </c>
      <c r="P11" s="30">
        <f>(O11-H11)/0.01</f>
        <v>0</v>
      </c>
      <c r="Q11" s="3">
        <f t="shared" si="5"/>
        <v>-1.4319074850133577</v>
      </c>
      <c r="R11" s="3">
        <f t="shared" si="6"/>
        <v>0.97469307960664497</v>
      </c>
      <c r="S11" s="7">
        <f t="shared" si="7"/>
        <v>-1.3644780750616734</v>
      </c>
      <c r="T11" s="7">
        <f t="shared" si="8"/>
        <v>1.5717161234678256</v>
      </c>
      <c r="U11" s="7">
        <f t="shared" si="9"/>
        <v>1.9538063688174283</v>
      </c>
      <c r="V11" s="7">
        <f t="shared" si="10"/>
        <v>0.24176878643021626</v>
      </c>
      <c r="W11" s="30">
        <f t="shared" si="11"/>
        <v>68.729771183856101</v>
      </c>
      <c r="X11" s="30">
        <f t="shared" si="12"/>
        <v>0.66154333375520036</v>
      </c>
      <c r="Y11" s="30">
        <f t="shared" si="13"/>
        <v>66.243316042577248</v>
      </c>
      <c r="Z11" s="30">
        <f t="shared" si="14"/>
        <v>-210.19226638984867</v>
      </c>
      <c r="AA11" s="3"/>
    </row>
    <row r="12" spans="1:28" x14ac:dyDescent="0.2">
      <c r="A12" s="30">
        <v>29</v>
      </c>
      <c r="B12" s="30">
        <v>88</v>
      </c>
      <c r="C12" s="3">
        <f t="shared" si="15"/>
        <v>0.97469307960664497</v>
      </c>
      <c r="D12" s="30">
        <f t="shared" ref="D12:D35" si="24">Q11</f>
        <v>-1.4319074850133577</v>
      </c>
      <c r="E12" s="30">
        <f t="shared" ref="E12:E35" si="25">T11</f>
        <v>1.5717161234678256</v>
      </c>
      <c r="F12" s="30">
        <f t="shared" ref="F12:F35" si="26">S11</f>
        <v>-1.3644780750616734</v>
      </c>
      <c r="G12" s="30">
        <f t="shared" si="0"/>
        <v>1.5717161234678256</v>
      </c>
      <c r="H12" s="1">
        <f t="shared" ref="H12:H35" si="27">(B12-G12)^2</f>
        <v>7469.8482538424323</v>
      </c>
      <c r="I12" s="3">
        <f t="shared" si="1"/>
        <v>7469.8482538424323</v>
      </c>
      <c r="J12" s="3">
        <f t="shared" ref="J12:J35" si="28">(I12-H12)/0.01</f>
        <v>0</v>
      </c>
      <c r="K12" s="3">
        <f t="shared" si="2"/>
        <v>7469.8482538424323</v>
      </c>
      <c r="L12" s="3">
        <f t="shared" ref="L12:L35" si="29">(K12-H12)/0.01</f>
        <v>0</v>
      </c>
      <c r="M12" s="30">
        <f t="shared" si="3"/>
        <v>7468.1197881649005</v>
      </c>
      <c r="N12" s="30">
        <f t="shared" ref="N12:N35" si="30">(M12-H12)/0.01</f>
        <v>-172.84656775318581</v>
      </c>
      <c r="O12" s="30">
        <f t="shared" si="4"/>
        <v>7469.8482538424323</v>
      </c>
      <c r="P12" s="30">
        <f t="shared" ref="P12:P35" si="31">(O12-H12)/0.01</f>
        <v>0</v>
      </c>
      <c r="Q12" s="3">
        <f t="shared" si="5"/>
        <v>-1.4380931644199049</v>
      </c>
      <c r="R12" s="3">
        <f t="shared" si="6"/>
        <v>0.97463354070660702</v>
      </c>
      <c r="S12" s="7">
        <f t="shared" si="7"/>
        <v>-1.3704399735055053</v>
      </c>
      <c r="T12" s="7">
        <f t="shared" si="8"/>
        <v>1.592361893120444</v>
      </c>
      <c r="U12" s="7">
        <f t="shared" si="9"/>
        <v>1.9708203581460626</v>
      </c>
      <c r="V12" s="7">
        <f t="shared" si="10"/>
        <v>0.25668512941690458</v>
      </c>
      <c r="W12" s="30">
        <f t="shared" si="11"/>
        <v>61.856794065470496</v>
      </c>
      <c r="X12" s="30">
        <f t="shared" si="12"/>
        <v>0.59538900037968034</v>
      </c>
      <c r="Y12" s="30">
        <f t="shared" si="13"/>
        <v>59.618984438319522</v>
      </c>
      <c r="Z12" s="30">
        <f t="shared" si="14"/>
        <v>-206.45769652618239</v>
      </c>
      <c r="AA12" s="3"/>
    </row>
    <row r="13" spans="1:28" x14ac:dyDescent="0.2">
      <c r="A13" s="30">
        <v>72</v>
      </c>
      <c r="B13" s="30">
        <v>174</v>
      </c>
      <c r="C13" s="3">
        <f t="shared" si="15"/>
        <v>0.97463354070660702</v>
      </c>
      <c r="D13" s="30">
        <f t="shared" si="24"/>
        <v>-1.4380931644199049</v>
      </c>
      <c r="E13" s="30">
        <f t="shared" si="25"/>
        <v>1.592361893120444</v>
      </c>
      <c r="F13" s="30">
        <f t="shared" si="26"/>
        <v>-1.3704399735055053</v>
      </c>
      <c r="G13" s="30">
        <f t="shared" si="0"/>
        <v>1.592361893120444</v>
      </c>
      <c r="H13" s="1">
        <f t="shared" si="27"/>
        <v>29724.393677592743</v>
      </c>
      <c r="I13" s="3">
        <f t="shared" si="1"/>
        <v>29724.393677592743</v>
      </c>
      <c r="J13" s="3">
        <f t="shared" si="28"/>
        <v>0</v>
      </c>
      <c r="K13" s="3">
        <f t="shared" si="2"/>
        <v>29724.393677592743</v>
      </c>
      <c r="L13" s="3">
        <f t="shared" si="29"/>
        <v>0</v>
      </c>
      <c r="M13" s="30">
        <f t="shared" si="3"/>
        <v>29720.945624830609</v>
      </c>
      <c r="N13" s="30">
        <f t="shared" si="30"/>
        <v>-344.80527621344663</v>
      </c>
      <c r="O13" s="30">
        <f t="shared" si="4"/>
        <v>29724.393677592743</v>
      </c>
      <c r="P13" s="30">
        <f t="shared" si="31"/>
        <v>0</v>
      </c>
      <c r="Q13" s="3">
        <f t="shared" si="5"/>
        <v>-1.4436602758857973</v>
      </c>
      <c r="R13" s="3">
        <f t="shared" si="6"/>
        <v>0.97457995569657285</v>
      </c>
      <c r="S13" s="7">
        <f t="shared" si="7"/>
        <v>-1.375805682104954</v>
      </c>
      <c r="T13" s="7">
        <f t="shared" si="8"/>
        <v>1.6143911385699348</v>
      </c>
      <c r="U13" s="7">
        <f t="shared" si="9"/>
        <v>1.9861960105928853</v>
      </c>
      <c r="V13" s="7">
        <f t="shared" si="10"/>
        <v>0.2735584978569956</v>
      </c>
      <c r="W13" s="30">
        <f t="shared" si="11"/>
        <v>55.67111465892345</v>
      </c>
      <c r="X13" s="30">
        <f t="shared" si="12"/>
        <v>0.53585010034171232</v>
      </c>
      <c r="Y13" s="30">
        <f t="shared" si="13"/>
        <v>53.657085994487574</v>
      </c>
      <c r="Z13" s="30">
        <f t="shared" si="14"/>
        <v>-220.29245449490881</v>
      </c>
      <c r="AA13" s="3"/>
    </row>
    <row r="14" spans="1:28" x14ac:dyDescent="0.2">
      <c r="A14" s="30">
        <v>62</v>
      </c>
      <c r="B14" s="30">
        <v>154</v>
      </c>
      <c r="C14" s="3">
        <f t="shared" si="15"/>
        <v>0.97457995569657285</v>
      </c>
      <c r="D14" s="30">
        <f t="shared" si="24"/>
        <v>-1.4436602758857973</v>
      </c>
      <c r="E14" s="30">
        <f t="shared" si="25"/>
        <v>1.6143911385699348</v>
      </c>
      <c r="F14" s="30">
        <f t="shared" si="26"/>
        <v>-1.375805682104954</v>
      </c>
      <c r="G14" s="30">
        <f t="shared" si="0"/>
        <v>1.6143911385699348</v>
      </c>
      <c r="H14" s="1">
        <f t="shared" si="27"/>
        <v>23221.373788068751</v>
      </c>
      <c r="I14" s="3">
        <f t="shared" si="1"/>
        <v>23221.373788068751</v>
      </c>
      <c r="J14" s="3">
        <f t="shared" si="28"/>
        <v>0</v>
      </c>
      <c r="K14" s="3">
        <f t="shared" si="2"/>
        <v>23221.373788068751</v>
      </c>
      <c r="L14" s="3">
        <f t="shared" si="29"/>
        <v>0</v>
      </c>
      <c r="M14" s="30">
        <f t="shared" si="3"/>
        <v>23218.326175891525</v>
      </c>
      <c r="N14" s="30">
        <f t="shared" si="30"/>
        <v>-304.76121772262559</v>
      </c>
      <c r="O14" s="30">
        <f t="shared" si="4"/>
        <v>23221.373788068751</v>
      </c>
      <c r="P14" s="30">
        <f t="shared" si="31"/>
        <v>0</v>
      </c>
      <c r="Q14" s="3">
        <f t="shared" si="5"/>
        <v>-1.4486706762051005</v>
      </c>
      <c r="R14" s="3">
        <f t="shared" si="6"/>
        <v>0.97453172918754205</v>
      </c>
      <c r="S14" s="7">
        <f t="shared" si="7"/>
        <v>-1.3806348198444578</v>
      </c>
      <c r="T14" s="7">
        <f t="shared" si="8"/>
        <v>1.6372650716517028</v>
      </c>
      <c r="U14" s="7">
        <f t="shared" si="9"/>
        <v>2.000085178056378</v>
      </c>
      <c r="V14" s="7">
        <f t="shared" si="10"/>
        <v>0.29179263329215277</v>
      </c>
      <c r="W14" s="30">
        <f t="shared" si="11"/>
        <v>50.104003193031105</v>
      </c>
      <c r="X14" s="30">
        <f t="shared" si="12"/>
        <v>0.48226509030754111</v>
      </c>
      <c r="Y14" s="30">
        <f t="shared" si="13"/>
        <v>48.291377395038815</v>
      </c>
      <c r="Z14" s="30">
        <f t="shared" si="14"/>
        <v>-228.7393308176805</v>
      </c>
      <c r="AA14" s="3"/>
    </row>
    <row r="15" spans="1:28" x14ac:dyDescent="0.2">
      <c r="A15" s="30">
        <v>84</v>
      </c>
      <c r="B15" s="30">
        <v>198</v>
      </c>
      <c r="C15" s="3">
        <f>R14</f>
        <v>0.97453172918754205</v>
      </c>
      <c r="D15" s="30">
        <f>Q14</f>
        <v>-1.4486706762051005</v>
      </c>
      <c r="E15" s="30">
        <f>T14</f>
        <v>1.6372650716517028</v>
      </c>
      <c r="F15" s="30">
        <f>S14</f>
        <v>-1.3806348198444578</v>
      </c>
      <c r="G15" s="30">
        <f t="shared" si="0"/>
        <v>1.6372650716517028</v>
      </c>
      <c r="H15" s="1">
        <f t="shared" si="27"/>
        <v>38558.323668540776</v>
      </c>
      <c r="I15" s="3">
        <f t="shared" si="1"/>
        <v>38558.323668540776</v>
      </c>
      <c r="J15" s="3">
        <f t="shared" si="28"/>
        <v>0</v>
      </c>
      <c r="K15" s="3">
        <f t="shared" si="2"/>
        <v>38558.323668540776</v>
      </c>
      <c r="L15" s="3">
        <f t="shared" si="29"/>
        <v>0</v>
      </c>
      <c r="M15" s="30">
        <f t="shared" si="3"/>
        <v>38554.396513842206</v>
      </c>
      <c r="N15" s="30">
        <f t="shared" si="30"/>
        <v>-392.71546985692112</v>
      </c>
      <c r="O15" s="30">
        <f t="shared" si="4"/>
        <v>38558.323668540776</v>
      </c>
      <c r="P15" s="30">
        <f t="shared" si="31"/>
        <v>0</v>
      </c>
      <c r="Q15" s="3">
        <f t="shared" si="5"/>
        <v>-1.4531800364924732</v>
      </c>
      <c r="R15" s="3">
        <f t="shared" si="6"/>
        <v>0.97448832532941432</v>
      </c>
      <c r="S15" s="7">
        <f t="shared" si="7"/>
        <v>-1.3849810438100112</v>
      </c>
      <c r="T15" s="7">
        <f t="shared" si="8"/>
        <v>1.6617787661238632</v>
      </c>
      <c r="U15" s="7">
        <f t="shared" si="9"/>
        <v>2.0126268037852157</v>
      </c>
      <c r="V15" s="7">
        <f t="shared" si="10"/>
        <v>0.31213090812846112</v>
      </c>
      <c r="W15" s="30">
        <f t="shared" si="11"/>
        <v>45.093602873727995</v>
      </c>
      <c r="X15" s="30">
        <f t="shared" si="12"/>
        <v>0.43403858127678702</v>
      </c>
      <c r="Y15" s="30">
        <f t="shared" si="13"/>
        <v>43.462239655534937</v>
      </c>
      <c r="Z15" s="30">
        <f t="shared" si="14"/>
        <v>-245.13694472160455</v>
      </c>
      <c r="AA15" s="3"/>
    </row>
    <row r="16" spans="1:28" x14ac:dyDescent="0.2">
      <c r="A16" s="30">
        <v>15</v>
      </c>
      <c r="B16" s="30">
        <v>60</v>
      </c>
      <c r="C16" s="3">
        <f t="shared" si="15"/>
        <v>0.97448832532941432</v>
      </c>
      <c r="D16" s="30">
        <f t="shared" si="24"/>
        <v>-1.4531800364924732</v>
      </c>
      <c r="E16" s="30">
        <f t="shared" si="25"/>
        <v>1.6617787661238632</v>
      </c>
      <c r="F16" s="30">
        <f t="shared" si="26"/>
        <v>-1.3849810438100112</v>
      </c>
      <c r="G16" s="30">
        <f t="shared" si="0"/>
        <v>1.6617787661238632</v>
      </c>
      <c r="H16" s="1">
        <f t="shared" si="27"/>
        <v>3403.348056732676</v>
      </c>
      <c r="I16" s="3">
        <f t="shared" si="1"/>
        <v>3403.348056732676</v>
      </c>
      <c r="J16" s="3">
        <f t="shared" si="28"/>
        <v>0</v>
      </c>
      <c r="K16" s="3">
        <f t="shared" si="2"/>
        <v>3403.348056732676</v>
      </c>
      <c r="L16" s="3">
        <f t="shared" si="29"/>
        <v>0</v>
      </c>
      <c r="M16" s="30">
        <f t="shared" si="3"/>
        <v>3402.181392307999</v>
      </c>
      <c r="N16" s="30">
        <f t="shared" si="30"/>
        <v>-116.66644246770375</v>
      </c>
      <c r="O16" s="30">
        <f t="shared" si="4"/>
        <v>3403.348056732676</v>
      </c>
      <c r="P16" s="30">
        <f t="shared" si="31"/>
        <v>0</v>
      </c>
      <c r="Q16" s="3">
        <f t="shared" si="5"/>
        <v>-1.4572384607511086</v>
      </c>
      <c r="R16" s="3">
        <f t="shared" si="6"/>
        <v>0.97444926185709946</v>
      </c>
      <c r="S16" s="7">
        <f t="shared" si="7"/>
        <v>-1.3888926453790094</v>
      </c>
      <c r="T16" s="7">
        <f t="shared" si="8"/>
        <v>1.6850077555734846</v>
      </c>
      <c r="U16" s="7">
        <f t="shared" si="9"/>
        <v>2.023947780700643</v>
      </c>
      <c r="V16" s="7">
        <f t="shared" si="10"/>
        <v>0.33160234248515463</v>
      </c>
      <c r="W16" s="30">
        <f t="shared" si="11"/>
        <v>40.584242586355195</v>
      </c>
      <c r="X16" s="30">
        <f t="shared" si="12"/>
        <v>0.3906347231491083</v>
      </c>
      <c r="Y16" s="30">
        <f t="shared" si="13"/>
        <v>39.116015689981445</v>
      </c>
      <c r="Z16" s="30">
        <f t="shared" si="14"/>
        <v>-232.28989449621449</v>
      </c>
      <c r="AA16" s="3"/>
    </row>
    <row r="17" spans="1:27" x14ac:dyDescent="0.2">
      <c r="A17" s="30">
        <v>42</v>
      </c>
      <c r="B17" s="30">
        <v>114</v>
      </c>
      <c r="C17" s="3">
        <f t="shared" si="15"/>
        <v>0.97444926185709946</v>
      </c>
      <c r="D17" s="30">
        <f t="shared" si="24"/>
        <v>-1.4572384607511086</v>
      </c>
      <c r="E17" s="30">
        <f t="shared" si="25"/>
        <v>1.6850077555734846</v>
      </c>
      <c r="F17" s="30">
        <f t="shared" si="26"/>
        <v>-1.3888926453790094</v>
      </c>
      <c r="G17" s="30">
        <f t="shared" si="0"/>
        <v>1.6850077555734846</v>
      </c>
      <c r="H17" s="1">
        <f t="shared" si="27"/>
        <v>12614.657482865588</v>
      </c>
      <c r="I17" s="3">
        <f t="shared" si="1"/>
        <v>12614.657482865588</v>
      </c>
      <c r="J17" s="3">
        <f t="shared" si="28"/>
        <v>0</v>
      </c>
      <c r="K17" s="3">
        <f t="shared" si="2"/>
        <v>12614.657482865588</v>
      </c>
      <c r="L17" s="3">
        <f t="shared" si="29"/>
        <v>0</v>
      </c>
      <c r="M17" s="30">
        <f t="shared" si="3"/>
        <v>12612.4112830207</v>
      </c>
      <c r="N17" s="30">
        <f t="shared" si="30"/>
        <v>-224.61998448889062</v>
      </c>
      <c r="O17" s="30">
        <f t="shared" si="4"/>
        <v>12614.657482865588</v>
      </c>
      <c r="P17" s="30">
        <f t="shared" si="31"/>
        <v>0</v>
      </c>
      <c r="Q17" s="3">
        <f t="shared" si="5"/>
        <v>-1.4608910425838806</v>
      </c>
      <c r="R17" s="3">
        <f t="shared" si="6"/>
        <v>0.97441410473201606</v>
      </c>
      <c r="S17" s="7">
        <f t="shared" si="7"/>
        <v>-1.3924130867911078</v>
      </c>
      <c r="T17" s="7">
        <f t="shared" si="8"/>
        <v>1.7081600459230328</v>
      </c>
      <c r="U17" s="7">
        <f t="shared" si="9"/>
        <v>2.0341638060697007</v>
      </c>
      <c r="V17" s="7">
        <f t="shared" si="10"/>
        <v>0.35137309454033261</v>
      </c>
      <c r="W17" s="30">
        <f t="shared" si="11"/>
        <v>36.525818327719676</v>
      </c>
      <c r="X17" s="30">
        <f t="shared" si="12"/>
        <v>0.35157125083419749</v>
      </c>
      <c r="Y17" s="30">
        <f t="shared" si="13"/>
        <v>35.204414120983301</v>
      </c>
      <c r="Z17" s="30">
        <f t="shared" si="14"/>
        <v>-231.5229034954821</v>
      </c>
      <c r="AA17" s="3"/>
    </row>
    <row r="18" spans="1:27" x14ac:dyDescent="0.2">
      <c r="A18" s="30">
        <v>62</v>
      </c>
      <c r="B18" s="30">
        <v>154</v>
      </c>
      <c r="C18" s="3">
        <f t="shared" si="15"/>
        <v>0.97441410473201606</v>
      </c>
      <c r="D18" s="30">
        <f t="shared" si="24"/>
        <v>-1.4608910425838806</v>
      </c>
      <c r="E18" s="30">
        <f t="shared" si="25"/>
        <v>1.7081600459230328</v>
      </c>
      <c r="F18" s="30">
        <f t="shared" si="26"/>
        <v>-1.3924130867911078</v>
      </c>
      <c r="G18" s="30">
        <f t="shared" si="0"/>
        <v>1.7081600459230328</v>
      </c>
      <c r="H18" s="1">
        <f t="shared" si="27"/>
        <v>23192.804516598197</v>
      </c>
      <c r="I18" s="3">
        <f t="shared" si="1"/>
        <v>23192.804516598197</v>
      </c>
      <c r="J18" s="3">
        <f t="shared" si="28"/>
        <v>0</v>
      </c>
      <c r="K18" s="3">
        <f t="shared" si="2"/>
        <v>23192.804516598197</v>
      </c>
      <c r="L18" s="3">
        <f t="shared" si="29"/>
        <v>0</v>
      </c>
      <c r="M18" s="30">
        <f t="shared" si="3"/>
        <v>23189.758779799111</v>
      </c>
      <c r="N18" s="30">
        <f t="shared" si="30"/>
        <v>-304.57367990857165</v>
      </c>
      <c r="O18" s="30">
        <f t="shared" si="4"/>
        <v>23192.804516598197</v>
      </c>
      <c r="P18" s="30">
        <f t="shared" si="31"/>
        <v>0</v>
      </c>
      <c r="Q18" s="3">
        <f t="shared" si="5"/>
        <v>-1.4641783662333754</v>
      </c>
      <c r="R18" s="3">
        <f t="shared" si="6"/>
        <v>0.97438246331944101</v>
      </c>
      <c r="S18" s="7">
        <f t="shared" si="7"/>
        <v>-1.3955814840619962</v>
      </c>
      <c r="T18" s="7">
        <f t="shared" si="8"/>
        <v>1.7320428440367119</v>
      </c>
      <c r="U18" s="7">
        <f t="shared" si="9"/>
        <v>2.0433802172794429</v>
      </c>
      <c r="V18" s="7">
        <f t="shared" si="10"/>
        <v>0.37221271983338289</v>
      </c>
      <c r="W18" s="30">
        <f t="shared" si="11"/>
        <v>32.873236494947712</v>
      </c>
      <c r="X18" s="30">
        <f t="shared" si="12"/>
        <v>0.31641412575077776</v>
      </c>
      <c r="Y18" s="30">
        <f t="shared" si="13"/>
        <v>31.683972708884973</v>
      </c>
      <c r="Z18" s="30">
        <f t="shared" si="14"/>
        <v>-238.82798113679107</v>
      </c>
      <c r="AA18" s="3"/>
    </row>
    <row r="19" spans="1:27" x14ac:dyDescent="0.2">
      <c r="A19" s="30">
        <v>47</v>
      </c>
      <c r="B19" s="30">
        <v>124</v>
      </c>
      <c r="C19" s="3">
        <f t="shared" si="15"/>
        <v>0.97438246331944101</v>
      </c>
      <c r="D19" s="30">
        <f t="shared" si="24"/>
        <v>-1.4641783662333754</v>
      </c>
      <c r="E19" s="30">
        <f t="shared" si="25"/>
        <v>1.7320428440367119</v>
      </c>
      <c r="F19" s="30">
        <f t="shared" si="26"/>
        <v>-1.3955814840619962</v>
      </c>
      <c r="G19" s="30">
        <f t="shared" si="0"/>
        <v>1.7320428440367119</v>
      </c>
      <c r="H19" s="1">
        <f t="shared" si="27"/>
        <v>14949.453347092474</v>
      </c>
      <c r="I19" s="3">
        <f t="shared" si="1"/>
        <v>14949.453347092474</v>
      </c>
      <c r="J19" s="3">
        <f t="shared" si="28"/>
        <v>0</v>
      </c>
      <c r="K19" s="3">
        <f t="shared" si="2"/>
        <v>14949.453347092474</v>
      </c>
      <c r="L19" s="3">
        <f t="shared" si="29"/>
        <v>0</v>
      </c>
      <c r="M19" s="30">
        <f t="shared" si="3"/>
        <v>14947.008087949354</v>
      </c>
      <c r="N19" s="30">
        <f t="shared" si="30"/>
        <v>-244.52591431199835</v>
      </c>
      <c r="O19" s="30">
        <f t="shared" si="4"/>
        <v>14949.453347092474</v>
      </c>
      <c r="P19" s="30">
        <f t="shared" si="31"/>
        <v>0</v>
      </c>
      <c r="Q19" s="3">
        <f t="shared" si="5"/>
        <v>-1.4671369575179207</v>
      </c>
      <c r="R19" s="3">
        <f t="shared" si="6"/>
        <v>0.9743539860481234</v>
      </c>
      <c r="S19" s="7">
        <f t="shared" si="7"/>
        <v>-1.398433041605796</v>
      </c>
      <c r="T19" s="7">
        <f t="shared" si="8"/>
        <v>1.755982621482143</v>
      </c>
      <c r="U19" s="7">
        <f t="shared" si="9"/>
        <v>2.0516927979540593</v>
      </c>
      <c r="V19" s="7">
        <f t="shared" si="10"/>
        <v>0.39341381317213453</v>
      </c>
      <c r="W19" s="30">
        <f t="shared" si="11"/>
        <v>29.585912845452942</v>
      </c>
      <c r="X19" s="30">
        <f t="shared" si="12"/>
        <v>0.28477271317570002</v>
      </c>
      <c r="Y19" s="30">
        <f t="shared" si="13"/>
        <v>28.515575437996475</v>
      </c>
      <c r="Z19" s="30">
        <f t="shared" si="14"/>
        <v>-239.39777445431179</v>
      </c>
      <c r="AA19" s="3"/>
    </row>
    <row r="20" spans="1:27" x14ac:dyDescent="0.2">
      <c r="A20" s="30">
        <v>35</v>
      </c>
      <c r="B20" s="30">
        <v>100</v>
      </c>
      <c r="C20" s="3">
        <f t="shared" si="15"/>
        <v>0.9743539860481234</v>
      </c>
      <c r="D20" s="30">
        <f t="shared" si="24"/>
        <v>-1.4671369575179207</v>
      </c>
      <c r="E20" s="30">
        <f t="shared" si="25"/>
        <v>1.755982621482143</v>
      </c>
      <c r="F20" s="30">
        <f t="shared" si="26"/>
        <v>-1.398433041605796</v>
      </c>
      <c r="G20" s="30">
        <f t="shared" si="0"/>
        <v>1.755982621482143</v>
      </c>
      <c r="H20" s="1">
        <f t="shared" si="27"/>
        <v>9651.8869506705178</v>
      </c>
      <c r="I20" s="3">
        <f t="shared" si="1"/>
        <v>9651.8869506705178</v>
      </c>
      <c r="J20" s="3">
        <f t="shared" si="28"/>
        <v>0</v>
      </c>
      <c r="K20" s="3">
        <f t="shared" si="2"/>
        <v>9651.8869506705178</v>
      </c>
      <c r="L20" s="3">
        <f t="shared" si="29"/>
        <v>0</v>
      </c>
      <c r="M20" s="30">
        <f t="shared" si="3"/>
        <v>9649.9221703229487</v>
      </c>
      <c r="N20" s="30">
        <f t="shared" si="30"/>
        <v>-196.47803475691035</v>
      </c>
      <c r="O20" s="30">
        <f t="shared" si="4"/>
        <v>9651.8869506705178</v>
      </c>
      <c r="P20" s="30">
        <f t="shared" si="31"/>
        <v>0</v>
      </c>
      <c r="Q20" s="3">
        <f t="shared" si="5"/>
        <v>-1.4697996896740115</v>
      </c>
      <c r="R20" s="3">
        <f t="shared" si="6"/>
        <v>0.97432835650393756</v>
      </c>
      <c r="S20" s="7">
        <f t="shared" si="7"/>
        <v>-1.4009994433952155</v>
      </c>
      <c r="T20" s="7">
        <f t="shared" si="8"/>
        <v>1.7794932015306002</v>
      </c>
      <c r="U20" s="7">
        <f t="shared" si="9"/>
        <v>2.0591885471357507</v>
      </c>
      <c r="V20" s="7">
        <f t="shared" si="10"/>
        <v>0.41445971638440859</v>
      </c>
      <c r="W20" s="30">
        <f t="shared" si="11"/>
        <v>26.627321560907649</v>
      </c>
      <c r="X20" s="30">
        <f t="shared" si="12"/>
        <v>0.25629544185813002</v>
      </c>
      <c r="Y20" s="30">
        <f t="shared" si="13"/>
        <v>25.664017894196828</v>
      </c>
      <c r="Z20" s="30">
        <f t="shared" si="14"/>
        <v>-235.10580048457166</v>
      </c>
      <c r="AA20" s="3"/>
    </row>
    <row r="21" spans="1:27" x14ac:dyDescent="0.2">
      <c r="A21" s="30">
        <v>9</v>
      </c>
      <c r="B21" s="30">
        <v>48</v>
      </c>
      <c r="C21" s="3">
        <f t="shared" si="15"/>
        <v>0.97432835650393756</v>
      </c>
      <c r="D21" s="30">
        <f t="shared" si="24"/>
        <v>-1.4697996896740115</v>
      </c>
      <c r="E21" s="30">
        <f t="shared" si="25"/>
        <v>1.7794932015306002</v>
      </c>
      <c r="F21" s="30">
        <f t="shared" si="26"/>
        <v>-1.4009994433952155</v>
      </c>
      <c r="G21" s="30">
        <f t="shared" si="0"/>
        <v>1.7794932015306002</v>
      </c>
      <c r="H21" s="1">
        <f t="shared" si="27"/>
        <v>2136.3352487073562</v>
      </c>
      <c r="I21" s="3">
        <f t="shared" si="1"/>
        <v>2136.3352487073562</v>
      </c>
      <c r="J21" s="3">
        <f t="shared" si="28"/>
        <v>0</v>
      </c>
      <c r="K21" s="3">
        <f t="shared" si="2"/>
        <v>2136.3352487073562</v>
      </c>
      <c r="L21" s="3">
        <f t="shared" si="29"/>
        <v>0</v>
      </c>
      <c r="M21" s="30">
        <f t="shared" si="3"/>
        <v>2135.4109385713869</v>
      </c>
      <c r="N21" s="30">
        <f t="shared" si="30"/>
        <v>-92.431013596933553</v>
      </c>
      <c r="O21" s="30">
        <f t="shared" si="4"/>
        <v>2136.3352487073562</v>
      </c>
      <c r="P21" s="30">
        <f t="shared" si="31"/>
        <v>0</v>
      </c>
      <c r="Q21" s="3">
        <f t="shared" si="5"/>
        <v>-1.4721961486144932</v>
      </c>
      <c r="R21" s="3">
        <f t="shared" si="6"/>
        <v>0.97430528991417031</v>
      </c>
      <c r="S21" s="7">
        <f t="shared" si="7"/>
        <v>-1.4033092050056932</v>
      </c>
      <c r="T21" s="7">
        <f t="shared" si="8"/>
        <v>1.8015770337101811</v>
      </c>
      <c r="U21" s="7">
        <f t="shared" si="9"/>
        <v>2.065946406924648</v>
      </c>
      <c r="V21" s="7">
        <f t="shared" si="10"/>
        <v>0.43432545188788518</v>
      </c>
      <c r="W21" s="30">
        <f t="shared" si="11"/>
        <v>23.964589404816884</v>
      </c>
      <c r="X21" s="30">
        <f t="shared" si="12"/>
        <v>0.23066589767231702</v>
      </c>
      <c r="Y21" s="30">
        <f t="shared" si="13"/>
        <v>23.097616104777146</v>
      </c>
      <c r="Z21" s="30">
        <f t="shared" si="14"/>
        <v>-220.83832179580784</v>
      </c>
      <c r="AA21" s="3"/>
    </row>
    <row r="22" spans="1:27" x14ac:dyDescent="0.2">
      <c r="A22" s="30">
        <v>38</v>
      </c>
      <c r="B22" s="30">
        <v>106</v>
      </c>
      <c r="C22" s="3">
        <f t="shared" si="15"/>
        <v>0.97430528991417031</v>
      </c>
      <c r="D22" s="30">
        <f t="shared" si="24"/>
        <v>-1.4721961486144932</v>
      </c>
      <c r="E22" s="30">
        <f t="shared" si="25"/>
        <v>1.8015770337101811</v>
      </c>
      <c r="F22" s="30">
        <f t="shared" si="26"/>
        <v>-1.4033092050056932</v>
      </c>
      <c r="G22" s="30">
        <f t="shared" si="0"/>
        <v>1.8015770337101811</v>
      </c>
      <c r="H22" s="1">
        <f t="shared" si="27"/>
        <v>10857.311348661835</v>
      </c>
      <c r="I22" s="3">
        <f t="shared" si="1"/>
        <v>10857.311348661835</v>
      </c>
      <c r="J22" s="3">
        <f t="shared" si="28"/>
        <v>0</v>
      </c>
      <c r="K22" s="3">
        <f t="shared" si="2"/>
        <v>10857.311348661835</v>
      </c>
      <c r="L22" s="3">
        <f t="shared" si="29"/>
        <v>0</v>
      </c>
      <c r="M22" s="30">
        <f t="shared" si="3"/>
        <v>10855.227480202508</v>
      </c>
      <c r="N22" s="30">
        <f t="shared" si="30"/>
        <v>-208.38684593272774</v>
      </c>
      <c r="O22" s="30">
        <f t="shared" si="4"/>
        <v>10857.311348661835</v>
      </c>
      <c r="P22" s="30">
        <f t="shared" si="31"/>
        <v>0</v>
      </c>
      <c r="Q22" s="3">
        <f t="shared" si="5"/>
        <v>-1.4743529616609268</v>
      </c>
      <c r="R22" s="3">
        <f t="shared" si="6"/>
        <v>0.97428452998337978</v>
      </c>
      <c r="S22" s="7">
        <f t="shared" si="7"/>
        <v>-1.4053879904551232</v>
      </c>
      <c r="T22" s="7">
        <f t="shared" si="8"/>
        <v>1.8235363511311311</v>
      </c>
      <c r="U22" s="7">
        <f t="shared" si="9"/>
        <v>2.0720379460102092</v>
      </c>
      <c r="V22" s="7">
        <f t="shared" si="10"/>
        <v>0.45428857340627471</v>
      </c>
      <c r="W22" s="30">
        <f t="shared" si="11"/>
        <v>21.568130464335198</v>
      </c>
      <c r="X22" s="30">
        <f t="shared" si="12"/>
        <v>0.20759930790508532</v>
      </c>
      <c r="Y22" s="30">
        <f t="shared" si="13"/>
        <v>20.787854494299431</v>
      </c>
      <c r="Z22" s="30">
        <f t="shared" si="14"/>
        <v>-219.59317420949984</v>
      </c>
      <c r="AA22" s="3"/>
    </row>
    <row r="23" spans="1:27" x14ac:dyDescent="0.2">
      <c r="A23" s="30">
        <v>44</v>
      </c>
      <c r="B23" s="30">
        <v>118</v>
      </c>
      <c r="C23" s="3">
        <f t="shared" si="15"/>
        <v>0.97428452998337978</v>
      </c>
      <c r="D23" s="30">
        <f t="shared" si="24"/>
        <v>-1.4743529616609268</v>
      </c>
      <c r="E23" s="30">
        <f t="shared" si="25"/>
        <v>1.8235363511311311</v>
      </c>
      <c r="F23" s="30">
        <f t="shared" si="26"/>
        <v>-1.4053879904551232</v>
      </c>
      <c r="G23" s="30">
        <f t="shared" si="0"/>
        <v>1.8235363511311311</v>
      </c>
      <c r="H23" s="1">
        <f t="shared" si="27"/>
        <v>13496.970705956952</v>
      </c>
      <c r="I23" s="3">
        <f t="shared" si="1"/>
        <v>13496.970705956952</v>
      </c>
      <c r="J23" s="3">
        <f t="shared" si="28"/>
        <v>0</v>
      </c>
      <c r="K23" s="3">
        <f t="shared" si="2"/>
        <v>13496.970705956952</v>
      </c>
      <c r="L23" s="3">
        <f t="shared" si="29"/>
        <v>0</v>
      </c>
      <c r="M23" s="30">
        <f t="shared" si="3"/>
        <v>13494.647276683972</v>
      </c>
      <c r="N23" s="30">
        <f t="shared" si="30"/>
        <v>-232.34292729794106</v>
      </c>
      <c r="O23" s="30">
        <f t="shared" si="4"/>
        <v>13496.970705956952</v>
      </c>
      <c r="P23" s="30">
        <f t="shared" si="31"/>
        <v>0</v>
      </c>
      <c r="Q23" s="3">
        <f t="shared" si="5"/>
        <v>-1.4762940934027169</v>
      </c>
      <c r="R23" s="3">
        <f t="shared" si="6"/>
        <v>0.97426584604566835</v>
      </c>
      <c r="S23" s="7">
        <f t="shared" si="7"/>
        <v>-1.4072588973596101</v>
      </c>
      <c r="T23" s="7">
        <f t="shared" si="8"/>
        <v>1.8456231660829654</v>
      </c>
      <c r="U23" s="7">
        <f t="shared" si="9"/>
        <v>2.0775279980604124</v>
      </c>
      <c r="V23" s="7">
        <f t="shared" si="10"/>
        <v>0.47457888584161045</v>
      </c>
      <c r="W23" s="30">
        <f t="shared" si="11"/>
        <v>19.411317417901678</v>
      </c>
      <c r="X23" s="30">
        <f t="shared" si="12"/>
        <v>0.18683937711457679</v>
      </c>
      <c r="Y23" s="30">
        <f t="shared" si="13"/>
        <v>18.709069044869487</v>
      </c>
      <c r="Z23" s="30">
        <f t="shared" si="14"/>
        <v>-220.86814951834396</v>
      </c>
      <c r="AA23" s="3"/>
    </row>
    <row r="24" spans="1:27" x14ac:dyDescent="0.2">
      <c r="A24" s="30">
        <v>99</v>
      </c>
      <c r="B24" s="30">
        <v>228</v>
      </c>
      <c r="C24" s="3">
        <f t="shared" si="15"/>
        <v>0.97426584604566835</v>
      </c>
      <c r="D24" s="30">
        <f t="shared" si="24"/>
        <v>-1.4762940934027169</v>
      </c>
      <c r="E24" s="30">
        <f t="shared" si="25"/>
        <v>1.8456231660829654</v>
      </c>
      <c r="F24" s="30">
        <f t="shared" si="26"/>
        <v>-1.4072588973596101</v>
      </c>
      <c r="G24" s="30">
        <f t="shared" si="0"/>
        <v>1.8456231660829654</v>
      </c>
      <c r="H24" s="1">
        <f t="shared" si="27"/>
        <v>51145.802161137355</v>
      </c>
      <c r="I24" s="3">
        <f t="shared" si="1"/>
        <v>51145.802161137355</v>
      </c>
      <c r="J24" s="3">
        <f t="shared" si="28"/>
        <v>0</v>
      </c>
      <c r="K24" s="3">
        <f t="shared" si="2"/>
        <v>51145.802161137355</v>
      </c>
      <c r="L24" s="3">
        <f t="shared" si="29"/>
        <v>0</v>
      </c>
      <c r="M24" s="30">
        <f t="shared" si="3"/>
        <v>51141.279173600669</v>
      </c>
      <c r="N24" s="30">
        <f t="shared" si="30"/>
        <v>-452.29875366858323</v>
      </c>
      <c r="O24" s="30">
        <f t="shared" si="4"/>
        <v>51145.802161137355</v>
      </c>
      <c r="P24" s="30">
        <f t="shared" si="31"/>
        <v>0</v>
      </c>
      <c r="Q24" s="3">
        <f t="shared" si="5"/>
        <v>-1.4780411119703281</v>
      </c>
      <c r="R24" s="3">
        <f t="shared" si="6"/>
        <v>0.97424903050172806</v>
      </c>
      <c r="S24" s="7">
        <f t="shared" si="7"/>
        <v>-1.4089427135736483</v>
      </c>
      <c r="T24" s="7">
        <f t="shared" si="8"/>
        <v>1.8700242870763022</v>
      </c>
      <c r="U24" s="7">
        <f t="shared" si="9"/>
        <v>2.0824752550728864</v>
      </c>
      <c r="V24" s="7">
        <f t="shared" si="10"/>
        <v>0.49736321434470132</v>
      </c>
      <c r="W24" s="30">
        <f t="shared" si="11"/>
        <v>17.470185676111512</v>
      </c>
      <c r="X24" s="30">
        <f t="shared" si="12"/>
        <v>0.16815543940311911</v>
      </c>
      <c r="Y24" s="30">
        <f t="shared" si="13"/>
        <v>16.83816214038254</v>
      </c>
      <c r="Z24" s="30">
        <f t="shared" si="14"/>
        <v>-244.01120993336789</v>
      </c>
      <c r="AA24" s="3"/>
    </row>
    <row r="25" spans="1:27" x14ac:dyDescent="0.2">
      <c r="A25" s="30">
        <v>13</v>
      </c>
      <c r="B25" s="30">
        <v>56</v>
      </c>
      <c r="C25" s="3">
        <f t="shared" si="15"/>
        <v>0.97424903050172806</v>
      </c>
      <c r="D25" s="30">
        <f t="shared" si="24"/>
        <v>-1.4780411119703281</v>
      </c>
      <c r="E25" s="30">
        <f t="shared" si="25"/>
        <v>1.8700242870763022</v>
      </c>
      <c r="F25" s="30">
        <f t="shared" si="26"/>
        <v>-1.4089427135736483</v>
      </c>
      <c r="G25" s="30">
        <f t="shared" si="0"/>
        <v>1.8700242870763022</v>
      </c>
      <c r="H25" s="1">
        <f t="shared" si="27"/>
        <v>2930.0542706817091</v>
      </c>
      <c r="I25" s="3">
        <f t="shared" si="1"/>
        <v>2930.0542706817091</v>
      </c>
      <c r="J25" s="3">
        <f t="shared" si="28"/>
        <v>0</v>
      </c>
      <c r="K25" s="3">
        <f t="shared" si="2"/>
        <v>2930.0542706817091</v>
      </c>
      <c r="L25" s="3">
        <f t="shared" si="29"/>
        <v>0</v>
      </c>
      <c r="M25" s="30">
        <f t="shared" si="3"/>
        <v>2928.9717711674507</v>
      </c>
      <c r="N25" s="30">
        <f t="shared" si="30"/>
        <v>-108.24995142584157</v>
      </c>
      <c r="O25" s="30">
        <f t="shared" si="4"/>
        <v>2930.0542706817091</v>
      </c>
      <c r="P25" s="30">
        <f t="shared" si="31"/>
        <v>0</v>
      </c>
      <c r="Q25" s="3">
        <f t="shared" si="5"/>
        <v>-1.4796134286811782</v>
      </c>
      <c r="R25" s="3">
        <f t="shared" si="6"/>
        <v>0.97423389651218173</v>
      </c>
      <c r="S25" s="7">
        <f t="shared" si="7"/>
        <v>-1.4104581481662828</v>
      </c>
      <c r="T25" s="7">
        <f t="shared" si="8"/>
        <v>1.8930677954845638</v>
      </c>
      <c r="U25" s="7">
        <f t="shared" si="9"/>
        <v>2.086932816619619</v>
      </c>
      <c r="V25" s="7">
        <f t="shared" si="10"/>
        <v>0.51895165792916997</v>
      </c>
      <c r="W25" s="30">
        <f t="shared" si="11"/>
        <v>15.723167108500361</v>
      </c>
      <c r="X25" s="30">
        <f t="shared" si="12"/>
        <v>0.15133989546280721</v>
      </c>
      <c r="Y25" s="30">
        <f t="shared" si="13"/>
        <v>15.154345926344286</v>
      </c>
      <c r="Z25" s="30">
        <f t="shared" si="14"/>
        <v>-230.43508408261528</v>
      </c>
      <c r="AA25" s="3"/>
    </row>
    <row r="26" spans="1:27" x14ac:dyDescent="0.2">
      <c r="A26" s="30">
        <v>21</v>
      </c>
      <c r="B26" s="30">
        <v>72</v>
      </c>
      <c r="C26" s="3">
        <f t="shared" si="15"/>
        <v>0.97423389651218173</v>
      </c>
      <c r="D26" s="30">
        <f t="shared" si="24"/>
        <v>-1.4796134286811782</v>
      </c>
      <c r="E26" s="30">
        <f t="shared" si="25"/>
        <v>1.8930677954845638</v>
      </c>
      <c r="F26" s="30">
        <f t="shared" si="26"/>
        <v>-1.4104581481662828</v>
      </c>
      <c r="G26" s="30">
        <f t="shared" si="0"/>
        <v>1.8930677954845638</v>
      </c>
      <c r="H26" s="1">
        <f t="shared" si="27"/>
        <v>4914.9819431285232</v>
      </c>
      <c r="I26" s="3">
        <f t="shared" si="1"/>
        <v>4914.9819431285232</v>
      </c>
      <c r="J26" s="3">
        <f t="shared" si="28"/>
        <v>0</v>
      </c>
      <c r="K26" s="3">
        <f t="shared" si="2"/>
        <v>4914.9819431285232</v>
      </c>
      <c r="L26" s="3">
        <f t="shared" si="29"/>
        <v>0</v>
      </c>
      <c r="M26" s="30">
        <f t="shared" si="3"/>
        <v>4913.5799044844334</v>
      </c>
      <c r="N26" s="30">
        <f t="shared" si="30"/>
        <v>-140.2038644089771</v>
      </c>
      <c r="O26" s="30">
        <f t="shared" si="4"/>
        <v>4914.9819431285232</v>
      </c>
      <c r="P26" s="30">
        <f t="shared" si="31"/>
        <v>0</v>
      </c>
      <c r="Q26" s="3">
        <f t="shared" si="5"/>
        <v>-1.4810285137209431</v>
      </c>
      <c r="R26" s="3">
        <f t="shared" si="6"/>
        <v>0.97422027592159011</v>
      </c>
      <c r="S26" s="7">
        <f t="shared" si="7"/>
        <v>-1.4118220392996537</v>
      </c>
      <c r="T26" s="7">
        <f t="shared" si="8"/>
        <v>1.915208991696089</v>
      </c>
      <c r="U26" s="7">
        <f t="shared" si="9"/>
        <v>2.0909486965024371</v>
      </c>
      <c r="V26" s="7">
        <f t="shared" si="10"/>
        <v>0.53978333501739839</v>
      </c>
      <c r="W26" s="30">
        <f t="shared" si="11"/>
        <v>14.150850397650325</v>
      </c>
      <c r="X26" s="30">
        <f t="shared" si="12"/>
        <v>0.13620590591652648</v>
      </c>
      <c r="Y26" s="30">
        <f t="shared" si="13"/>
        <v>13.638911333709858</v>
      </c>
      <c r="Z26" s="30">
        <f t="shared" si="14"/>
        <v>-221.41196211525147</v>
      </c>
      <c r="AA26" s="3"/>
    </row>
    <row r="27" spans="1:27" x14ac:dyDescent="0.2">
      <c r="A27" s="30">
        <v>28</v>
      </c>
      <c r="B27" s="30">
        <v>86</v>
      </c>
      <c r="C27" s="3">
        <f t="shared" si="15"/>
        <v>0.97422027592159011</v>
      </c>
      <c r="D27" s="30">
        <f t="shared" si="24"/>
        <v>-1.4810285137209431</v>
      </c>
      <c r="E27" s="30">
        <f t="shared" si="25"/>
        <v>1.915208991696089</v>
      </c>
      <c r="F27" s="30">
        <f t="shared" si="26"/>
        <v>-1.4118220392996537</v>
      </c>
      <c r="G27" s="30">
        <f t="shared" si="0"/>
        <v>1.915208991696089</v>
      </c>
      <c r="H27" s="1">
        <f t="shared" si="27"/>
        <v>7070.2520789101463</v>
      </c>
      <c r="I27" s="3">
        <f t="shared" si="1"/>
        <v>7070.2520789101463</v>
      </c>
      <c r="J27" s="3">
        <f t="shared" si="28"/>
        <v>0</v>
      </c>
      <c r="K27" s="3">
        <f t="shared" si="2"/>
        <v>7070.2520789101463</v>
      </c>
      <c r="L27" s="3">
        <f t="shared" si="29"/>
        <v>0</v>
      </c>
      <c r="M27" s="30">
        <f t="shared" si="3"/>
        <v>7068.5704830899795</v>
      </c>
      <c r="N27" s="30">
        <f t="shared" si="30"/>
        <v>-168.15958201668764</v>
      </c>
      <c r="O27" s="30">
        <f t="shared" si="4"/>
        <v>7070.2520789101463</v>
      </c>
      <c r="P27" s="30">
        <f t="shared" si="31"/>
        <v>0</v>
      </c>
      <c r="Q27" s="3">
        <f t="shared" si="5"/>
        <v>-1.4823020902567317</v>
      </c>
      <c r="R27" s="3">
        <f t="shared" si="6"/>
        <v>0.97420801739005758</v>
      </c>
      <c r="S27" s="7">
        <f t="shared" si="7"/>
        <v>-1.4130495413196875</v>
      </c>
      <c r="T27" s="7">
        <f t="shared" si="8"/>
        <v>1.9368176641066286</v>
      </c>
      <c r="U27" s="7">
        <f t="shared" si="9"/>
        <v>2.0945662887344887</v>
      </c>
      <c r="V27" s="7">
        <f t="shared" si="10"/>
        <v>0.56021347198364557</v>
      </c>
      <c r="W27" s="30">
        <f t="shared" si="11"/>
        <v>12.735765357885294</v>
      </c>
      <c r="X27" s="30">
        <f t="shared" si="12"/>
        <v>0.12258531532487384</v>
      </c>
      <c r="Y27" s="30">
        <f t="shared" si="13"/>
        <v>12.275020200338872</v>
      </c>
      <c r="Z27" s="30">
        <f t="shared" si="14"/>
        <v>-216.08672410539509</v>
      </c>
      <c r="AA27" s="3"/>
    </row>
    <row r="28" spans="1:27" x14ac:dyDescent="0.2">
      <c r="A28" s="30">
        <v>20</v>
      </c>
      <c r="B28" s="30">
        <v>70</v>
      </c>
      <c r="C28" s="3">
        <f t="shared" si="15"/>
        <v>0.97420801739005758</v>
      </c>
      <c r="D28" s="30">
        <f t="shared" si="24"/>
        <v>-1.4823020902567317</v>
      </c>
      <c r="E28" s="30">
        <f t="shared" si="25"/>
        <v>1.9368176641066286</v>
      </c>
      <c r="F28" s="30">
        <f t="shared" si="26"/>
        <v>-1.4130495413196875</v>
      </c>
      <c r="G28" s="30">
        <f t="shared" si="0"/>
        <v>1.9368176641066286</v>
      </c>
      <c r="H28" s="1">
        <f t="shared" si="27"/>
        <v>4632.5967896890679</v>
      </c>
      <c r="I28" s="3">
        <f t="shared" si="1"/>
        <v>4632.5967896890679</v>
      </c>
      <c r="J28" s="3">
        <f t="shared" si="28"/>
        <v>0</v>
      </c>
      <c r="K28" s="3">
        <f t="shared" si="2"/>
        <v>4632.5967896890679</v>
      </c>
      <c r="L28" s="3">
        <f t="shared" si="29"/>
        <v>0</v>
      </c>
      <c r="M28" s="30">
        <f t="shared" si="3"/>
        <v>4631.2356260423494</v>
      </c>
      <c r="N28" s="30">
        <f t="shared" si="30"/>
        <v>-136.11636467185235</v>
      </c>
      <c r="O28" s="30">
        <f t="shared" si="4"/>
        <v>4632.5967896890679</v>
      </c>
      <c r="P28" s="30">
        <f t="shared" si="31"/>
        <v>0</v>
      </c>
      <c r="Q28" s="3">
        <f t="shared" si="5"/>
        <v>-1.4834483091389414</v>
      </c>
      <c r="R28" s="3">
        <f t="shared" si="6"/>
        <v>0.97419698471167837</v>
      </c>
      <c r="S28" s="7">
        <f t="shared" si="7"/>
        <v>-1.414154293137718</v>
      </c>
      <c r="T28" s="7">
        <f t="shared" si="8"/>
        <v>1.9576266329228327</v>
      </c>
      <c r="U28" s="7">
        <f t="shared" si="9"/>
        <v>2.0978247950167228</v>
      </c>
      <c r="V28" s="7">
        <f t="shared" si="10"/>
        <v>0.57996178463099279</v>
      </c>
      <c r="W28" s="30">
        <f t="shared" si="11"/>
        <v>11.462188822096765</v>
      </c>
      <c r="X28" s="30">
        <f t="shared" si="12"/>
        <v>0.11032678379238646</v>
      </c>
      <c r="Y28" s="30">
        <f t="shared" si="13"/>
        <v>11.047518180304985</v>
      </c>
      <c r="Z28" s="30">
        <f t="shared" si="14"/>
        <v>-208.08968816204083</v>
      </c>
      <c r="AA28" s="3"/>
    </row>
    <row r="29" spans="1:27" x14ac:dyDescent="0.2">
      <c r="A29" s="30">
        <v>8</v>
      </c>
      <c r="B29" s="30">
        <v>46</v>
      </c>
      <c r="C29" s="3">
        <f t="shared" si="15"/>
        <v>0.97419698471167837</v>
      </c>
      <c r="D29" s="30">
        <f t="shared" si="24"/>
        <v>-1.4834483091389414</v>
      </c>
      <c r="E29" s="30">
        <f t="shared" si="25"/>
        <v>1.9576266329228327</v>
      </c>
      <c r="F29" s="30">
        <f t="shared" si="26"/>
        <v>-1.414154293137718</v>
      </c>
      <c r="G29" s="30">
        <f t="shared" si="0"/>
        <v>1.9576266329228327</v>
      </c>
      <c r="H29" s="1">
        <f t="shared" si="27"/>
        <v>1939.7306518050282</v>
      </c>
      <c r="I29" s="3">
        <f t="shared" si="1"/>
        <v>1939.7306518050282</v>
      </c>
      <c r="J29" s="3">
        <f t="shared" si="28"/>
        <v>0</v>
      </c>
      <c r="K29" s="3">
        <f t="shared" si="2"/>
        <v>1939.7306518050282</v>
      </c>
      <c r="L29" s="3">
        <f t="shared" si="29"/>
        <v>0</v>
      </c>
      <c r="M29" s="30">
        <f t="shared" si="3"/>
        <v>1938.8499043376869</v>
      </c>
      <c r="N29" s="30">
        <f t="shared" si="30"/>
        <v>-88.074746734127984</v>
      </c>
      <c r="O29" s="30">
        <f t="shared" si="4"/>
        <v>1939.7306518050282</v>
      </c>
      <c r="P29" s="30">
        <f t="shared" si="31"/>
        <v>0</v>
      </c>
      <c r="Q29" s="3">
        <f t="shared" si="5"/>
        <v>-1.4844799061329301</v>
      </c>
      <c r="R29" s="3">
        <f t="shared" si="6"/>
        <v>0.97418705530113703</v>
      </c>
      <c r="S29" s="7">
        <f t="shared" si="7"/>
        <v>-1.4151485697739454</v>
      </c>
      <c r="T29" s="7">
        <f t="shared" si="8"/>
        <v>1.9772354523247577</v>
      </c>
      <c r="U29" s="7">
        <f t="shared" si="9"/>
        <v>2.1007596160221769</v>
      </c>
      <c r="V29" s="7">
        <f t="shared" si="10"/>
        <v>0.59861603432306221</v>
      </c>
      <c r="W29" s="30">
        <f t="shared" si="11"/>
        <v>10.315969939887088</v>
      </c>
      <c r="X29" s="30">
        <f t="shared" si="12"/>
        <v>9.9294105413147815E-2</v>
      </c>
      <c r="Y29" s="30">
        <f t="shared" si="13"/>
        <v>9.9427663622744866</v>
      </c>
      <c r="Z29" s="30">
        <f t="shared" si="14"/>
        <v>-196.08819401924956</v>
      </c>
      <c r="AA29" s="3"/>
    </row>
    <row r="30" spans="1:27" x14ac:dyDescent="0.2">
      <c r="A30" s="30">
        <v>64</v>
      </c>
      <c r="B30" s="30">
        <v>158</v>
      </c>
      <c r="C30" s="3">
        <f t="shared" si="15"/>
        <v>0.97418705530113703</v>
      </c>
      <c r="D30" s="30">
        <f t="shared" si="24"/>
        <v>-1.4844799061329301</v>
      </c>
      <c r="E30" s="30">
        <f t="shared" si="25"/>
        <v>1.9772354523247577</v>
      </c>
      <c r="F30" s="30">
        <f t="shared" si="26"/>
        <v>-1.4151485697739454</v>
      </c>
      <c r="G30" s="30">
        <f t="shared" si="0"/>
        <v>1.9772354523247577</v>
      </c>
      <c r="H30" s="1">
        <f t="shared" si="27"/>
        <v>24343.10305709931</v>
      </c>
      <c r="I30" s="3">
        <f t="shared" si="1"/>
        <v>24343.10305709931</v>
      </c>
      <c r="J30" s="3">
        <f t="shared" si="28"/>
        <v>0</v>
      </c>
      <c r="K30" s="3">
        <f t="shared" si="2"/>
        <v>24343.10305709931</v>
      </c>
      <c r="L30" s="3">
        <f t="shared" si="29"/>
        <v>0</v>
      </c>
      <c r="M30" s="30">
        <f t="shared" si="3"/>
        <v>24339.982701808349</v>
      </c>
      <c r="N30" s="30">
        <f t="shared" si="30"/>
        <v>-312.03552909610153</v>
      </c>
      <c r="O30" s="30">
        <f t="shared" si="4"/>
        <v>24343.10305709931</v>
      </c>
      <c r="P30" s="30">
        <f t="shared" si="31"/>
        <v>0</v>
      </c>
      <c r="Q30" s="3">
        <f t="shared" si="5"/>
        <v>-1.48540834342752</v>
      </c>
      <c r="R30" s="3">
        <f t="shared" si="6"/>
        <v>0.97417811883164984</v>
      </c>
      <c r="S30" s="7">
        <f t="shared" si="7"/>
        <v>-1.41604341874655</v>
      </c>
      <c r="T30" s="7">
        <f t="shared" si="8"/>
        <v>1.9980037450774513</v>
      </c>
      <c r="U30" s="7">
        <f t="shared" si="9"/>
        <v>2.1034027088617551</v>
      </c>
      <c r="V30" s="7">
        <f t="shared" si="10"/>
        <v>0.61852523121899905</v>
      </c>
      <c r="W30" s="30">
        <f t="shared" si="11"/>
        <v>9.2843729458983795</v>
      </c>
      <c r="X30" s="30">
        <f t="shared" si="12"/>
        <v>8.9364694871833031E-2</v>
      </c>
      <c r="Y30" s="30">
        <f t="shared" si="13"/>
        <v>8.948489726047038</v>
      </c>
      <c r="Z30" s="30">
        <f t="shared" si="14"/>
        <v>-207.68292752693475</v>
      </c>
      <c r="AA30" s="3"/>
    </row>
    <row r="31" spans="1:27" x14ac:dyDescent="0.2">
      <c r="A31" s="30">
        <v>99</v>
      </c>
      <c r="B31" s="30">
        <v>228</v>
      </c>
      <c r="C31" s="3">
        <f t="shared" si="15"/>
        <v>0.97417811883164984</v>
      </c>
      <c r="D31" s="30">
        <f t="shared" si="24"/>
        <v>-1.48540834342752</v>
      </c>
      <c r="E31" s="30">
        <f t="shared" si="25"/>
        <v>1.9980037450774513</v>
      </c>
      <c r="F31" s="30">
        <f t="shared" si="26"/>
        <v>-1.41604341874655</v>
      </c>
      <c r="G31" s="30">
        <f t="shared" si="0"/>
        <v>1.9980037450774513</v>
      </c>
      <c r="H31" s="1">
        <f t="shared" si="27"/>
        <v>51076.902311210026</v>
      </c>
      <c r="I31" s="3">
        <f t="shared" si="1"/>
        <v>51076.902311210026</v>
      </c>
      <c r="J31" s="3">
        <f t="shared" si="28"/>
        <v>0</v>
      </c>
      <c r="K31" s="3">
        <f t="shared" si="2"/>
        <v>51076.902311210026</v>
      </c>
      <c r="L31" s="3">
        <f t="shared" si="29"/>
        <v>0</v>
      </c>
      <c r="M31" s="30">
        <f t="shared" si="3"/>
        <v>51072.382371284933</v>
      </c>
      <c r="N31" s="30">
        <f t="shared" si="30"/>
        <v>-451.99399250923307</v>
      </c>
      <c r="O31" s="30">
        <f t="shared" si="4"/>
        <v>51076.902311210026</v>
      </c>
      <c r="P31" s="30">
        <f t="shared" si="31"/>
        <v>0</v>
      </c>
      <c r="Q31" s="3">
        <f t="shared" si="5"/>
        <v>-1.4862439369926508</v>
      </c>
      <c r="R31" s="3">
        <f t="shared" si="6"/>
        <v>0.97417007600911143</v>
      </c>
      <c r="S31" s="7">
        <f t="shared" si="7"/>
        <v>-1.4168487828218943</v>
      </c>
      <c r="T31" s="7">
        <f t="shared" si="8"/>
        <v>2.0212151484799676</v>
      </c>
      <c r="U31" s="7">
        <f t="shared" si="9"/>
        <v>2.1057829131044574</v>
      </c>
      <c r="V31" s="7">
        <f t="shared" si="10"/>
        <v>0.64096346202494581</v>
      </c>
      <c r="W31" s="30">
        <f t="shared" si="11"/>
        <v>8.3559356513085419</v>
      </c>
      <c r="X31" s="30">
        <f t="shared" si="12"/>
        <v>8.0428225384649735E-2</v>
      </c>
      <c r="Y31" s="30">
        <f t="shared" si="13"/>
        <v>8.053640753442334</v>
      </c>
      <c r="Z31" s="30">
        <f t="shared" si="14"/>
        <v>-232.11403402516459</v>
      </c>
      <c r="AA31" s="3"/>
    </row>
    <row r="32" spans="1:27" x14ac:dyDescent="0.2">
      <c r="A32" s="30">
        <v>70</v>
      </c>
      <c r="B32" s="30">
        <v>170</v>
      </c>
      <c r="C32" s="3">
        <f t="shared" si="15"/>
        <v>0.97417007600911143</v>
      </c>
      <c r="D32" s="30">
        <f t="shared" si="24"/>
        <v>-1.4862439369926508</v>
      </c>
      <c r="E32" s="30">
        <f t="shared" si="25"/>
        <v>2.0212151484799676</v>
      </c>
      <c r="F32" s="30">
        <f t="shared" si="26"/>
        <v>-1.4168487828218943</v>
      </c>
      <c r="G32" s="30">
        <f t="shared" si="0"/>
        <v>2.0212151484799676</v>
      </c>
      <c r="H32" s="1">
        <f t="shared" si="27"/>
        <v>28216.872160193256</v>
      </c>
      <c r="I32" s="3">
        <f t="shared" si="1"/>
        <v>28216.872160193256</v>
      </c>
      <c r="J32" s="3">
        <f t="shared" si="28"/>
        <v>0</v>
      </c>
      <c r="K32" s="3">
        <f t="shared" si="2"/>
        <v>28216.872160193256</v>
      </c>
      <c r="L32" s="3">
        <f t="shared" si="29"/>
        <v>0</v>
      </c>
      <c r="M32" s="30">
        <f t="shared" si="3"/>
        <v>28213.512684496229</v>
      </c>
      <c r="N32" s="30">
        <f t="shared" si="30"/>
        <v>-335.94756970269373</v>
      </c>
      <c r="O32" s="30">
        <f t="shared" si="4"/>
        <v>28216.872160193256</v>
      </c>
      <c r="P32" s="30">
        <f t="shared" si="31"/>
        <v>0</v>
      </c>
      <c r="Q32" s="3">
        <f t="shared" si="5"/>
        <v>-1.4869959712012686</v>
      </c>
      <c r="R32" s="3">
        <f t="shared" si="6"/>
        <v>0.97416283746882681</v>
      </c>
      <c r="S32" s="7">
        <f t="shared" si="7"/>
        <v>-1.4175736104897041</v>
      </c>
      <c r="T32" s="7">
        <f t="shared" si="8"/>
        <v>2.0454648872392593</v>
      </c>
      <c r="U32" s="7">
        <f t="shared" si="9"/>
        <v>2.1079262476794263</v>
      </c>
      <c r="V32" s="7">
        <f t="shared" si="10"/>
        <v>0.66451735652367971</v>
      </c>
      <c r="W32" s="30">
        <f t="shared" si="11"/>
        <v>7.5203420861776875</v>
      </c>
      <c r="X32" s="30">
        <f t="shared" si="12"/>
        <v>7.2385402846184763E-2</v>
      </c>
      <c r="Y32" s="30">
        <f t="shared" si="13"/>
        <v>7.2482766780981009</v>
      </c>
      <c r="Z32" s="30">
        <f t="shared" si="14"/>
        <v>-242.49738759291751</v>
      </c>
      <c r="AA32" s="3"/>
    </row>
    <row r="33" spans="1:27" x14ac:dyDescent="0.2">
      <c r="A33" s="30">
        <v>27</v>
      </c>
      <c r="B33" s="30">
        <v>84</v>
      </c>
      <c r="C33" s="3">
        <f t="shared" si="15"/>
        <v>0.97416283746882681</v>
      </c>
      <c r="D33" s="30">
        <f t="shared" si="24"/>
        <v>-1.4869959712012686</v>
      </c>
      <c r="E33" s="30">
        <f t="shared" si="25"/>
        <v>2.0454648872392593</v>
      </c>
      <c r="F33" s="30">
        <f t="shared" si="26"/>
        <v>-1.4175736104897041</v>
      </c>
      <c r="G33" s="30">
        <f t="shared" si="0"/>
        <v>2.0454648872392593</v>
      </c>
      <c r="H33" s="1">
        <f t="shared" si="27"/>
        <v>6716.5458255487329</v>
      </c>
      <c r="I33" s="3">
        <f t="shared" si="1"/>
        <v>6716.5458255487329</v>
      </c>
      <c r="J33" s="3">
        <f t="shared" si="28"/>
        <v>0</v>
      </c>
      <c r="K33" s="3">
        <f t="shared" si="2"/>
        <v>6716.5458255487329</v>
      </c>
      <c r="L33" s="3">
        <f t="shared" si="29"/>
        <v>0</v>
      </c>
      <c r="M33" s="30">
        <f t="shared" si="3"/>
        <v>6714.9068348464789</v>
      </c>
      <c r="N33" s="30">
        <f t="shared" si="30"/>
        <v>-163.89907022539774</v>
      </c>
      <c r="O33" s="30">
        <f t="shared" si="4"/>
        <v>6716.5458255487329</v>
      </c>
      <c r="P33" s="30">
        <f t="shared" si="31"/>
        <v>0</v>
      </c>
      <c r="Q33" s="3">
        <f t="shared" si="5"/>
        <v>-1.4876728019890246</v>
      </c>
      <c r="R33" s="3">
        <f t="shared" si="6"/>
        <v>0.97415632278257069</v>
      </c>
      <c r="S33" s="7">
        <f t="shared" si="7"/>
        <v>-1.4182259553907328</v>
      </c>
      <c r="T33" s="7">
        <f t="shared" si="8"/>
        <v>2.0689286428248761</v>
      </c>
      <c r="U33" s="7">
        <f t="shared" si="9"/>
        <v>2.1098561809096927</v>
      </c>
      <c r="V33" s="7">
        <f t="shared" si="10"/>
        <v>0.68735486124664158</v>
      </c>
      <c r="W33" s="30">
        <f t="shared" si="11"/>
        <v>6.768307877559919</v>
      </c>
      <c r="X33" s="30">
        <f t="shared" si="12"/>
        <v>6.5146862561566293E-2</v>
      </c>
      <c r="Y33" s="30">
        <f t="shared" si="13"/>
        <v>6.5234490102882914</v>
      </c>
      <c r="Z33" s="30">
        <f t="shared" si="14"/>
        <v>-234.63755585616553</v>
      </c>
      <c r="AA33" s="3"/>
    </row>
    <row r="34" spans="1:27" x14ac:dyDescent="0.2">
      <c r="A34" s="30">
        <v>17</v>
      </c>
      <c r="B34" s="30">
        <v>64</v>
      </c>
      <c r="C34" s="3">
        <f t="shared" si="15"/>
        <v>0.97415632278257069</v>
      </c>
      <c r="D34" s="30">
        <f t="shared" si="24"/>
        <v>-1.4876728019890246</v>
      </c>
      <c r="E34" s="30">
        <f t="shared" si="25"/>
        <v>2.0689286428248761</v>
      </c>
      <c r="F34" s="30">
        <f t="shared" si="26"/>
        <v>-1.4182259553907328</v>
      </c>
      <c r="G34" s="30">
        <f t="shared" si="0"/>
        <v>2.0689286428248761</v>
      </c>
      <c r="H34" s="1">
        <f t="shared" si="27"/>
        <v>3835.4575994475167</v>
      </c>
      <c r="I34" s="3">
        <f t="shared" si="1"/>
        <v>3835.4575994475167</v>
      </c>
      <c r="J34" s="3">
        <f t="shared" si="28"/>
        <v>0</v>
      </c>
      <c r="K34" s="3">
        <f t="shared" si="2"/>
        <v>3835.4575994475167</v>
      </c>
      <c r="L34" s="3">
        <f t="shared" si="29"/>
        <v>0</v>
      </c>
      <c r="M34" s="30">
        <f t="shared" si="3"/>
        <v>3834.2190780203732</v>
      </c>
      <c r="N34" s="30">
        <f t="shared" si="30"/>
        <v>-123.85214271434961</v>
      </c>
      <c r="O34" s="30">
        <f t="shared" si="4"/>
        <v>3835.4575994475167</v>
      </c>
      <c r="P34" s="30">
        <f t="shared" si="31"/>
        <v>0</v>
      </c>
      <c r="Q34" s="3">
        <f t="shared" si="5"/>
        <v>-1.4882819496980051</v>
      </c>
      <c r="R34" s="3">
        <f t="shared" si="6"/>
        <v>0.97415045956494017</v>
      </c>
      <c r="S34" s="7">
        <f t="shared" si="7"/>
        <v>-1.4188130658016587</v>
      </c>
      <c r="T34" s="7">
        <f t="shared" si="8"/>
        <v>2.0912845442790746</v>
      </c>
      <c r="U34" s="7">
        <f t="shared" si="9"/>
        <v>2.1115938758282966</v>
      </c>
      <c r="V34" s="7">
        <f t="shared" si="10"/>
        <v>0.70914714419164704</v>
      </c>
      <c r="W34" s="30">
        <f t="shared" si="11"/>
        <v>6.0914770898039272</v>
      </c>
      <c r="X34" s="30">
        <f t="shared" si="12"/>
        <v>5.8632176305409664E-2</v>
      </c>
      <c r="Y34" s="30">
        <f t="shared" si="13"/>
        <v>5.8711041092594627</v>
      </c>
      <c r="Z34" s="30">
        <f t="shared" si="14"/>
        <v>-223.55901454198394</v>
      </c>
      <c r="AA34" s="3"/>
    </row>
    <row r="35" spans="1:27" x14ac:dyDescent="0.2">
      <c r="A35" s="30">
        <v>8</v>
      </c>
      <c r="B35" s="30">
        <v>46</v>
      </c>
      <c r="C35" s="3">
        <f t="shared" si="15"/>
        <v>0.97415045956494017</v>
      </c>
      <c r="D35" s="30">
        <f t="shared" si="24"/>
        <v>-1.4882819496980051</v>
      </c>
      <c r="E35" s="30">
        <f t="shared" si="25"/>
        <v>2.0912845442790746</v>
      </c>
      <c r="F35" s="30">
        <f t="shared" si="26"/>
        <v>-1.4188130658016587</v>
      </c>
      <c r="G35" s="30">
        <f t="shared" si="0"/>
        <v>2.0912845442790746</v>
      </c>
      <c r="H35" s="1">
        <f t="shared" si="27"/>
        <v>1927.9752929714655</v>
      </c>
      <c r="I35" s="3">
        <f t="shared" si="1"/>
        <v>1927.9752929714655</v>
      </c>
      <c r="J35" s="3">
        <f t="shared" si="28"/>
        <v>0</v>
      </c>
      <c r="K35" s="3">
        <f t="shared" si="2"/>
        <v>1927.9752929714655</v>
      </c>
      <c r="L35" s="3">
        <f t="shared" si="29"/>
        <v>0</v>
      </c>
      <c r="M35" s="30">
        <f t="shared" si="3"/>
        <v>1927.0972186623512</v>
      </c>
      <c r="N35" s="30">
        <f t="shared" si="30"/>
        <v>-87.807430911425399</v>
      </c>
      <c r="O35" s="30">
        <f t="shared" si="4"/>
        <v>1927.9752929714655</v>
      </c>
      <c r="P35" s="30">
        <f t="shared" si="31"/>
        <v>0</v>
      </c>
      <c r="Q35" s="3">
        <f t="shared" si="5"/>
        <v>-1.4888301826360875</v>
      </c>
      <c r="R35" s="3">
        <f t="shared" si="6"/>
        <v>0.97414518266907268</v>
      </c>
      <c r="S35" s="7">
        <f t="shared" si="7"/>
        <v>-1.419341465171492</v>
      </c>
      <c r="T35" s="7">
        <f t="shared" si="8"/>
        <v>2.1122829298969674</v>
      </c>
      <c r="U35" s="7">
        <f t="shared" si="9"/>
        <v>2.1131584128142444</v>
      </c>
      <c r="V35" s="7">
        <f t="shared" si="10"/>
        <v>0.72963827903769518</v>
      </c>
      <c r="W35" s="30">
        <f t="shared" si="11"/>
        <v>5.4823293808235345</v>
      </c>
      <c r="X35" s="30">
        <f t="shared" si="12"/>
        <v>5.27689586748687E-2</v>
      </c>
      <c r="Y35" s="30">
        <f t="shared" si="13"/>
        <v>5.283993698333517</v>
      </c>
      <c r="Z35" s="30">
        <f t="shared" si="14"/>
        <v>-209.98385617892808</v>
      </c>
      <c r="AA35" s="3"/>
    </row>
    <row r="36" spans="1:27" x14ac:dyDescent="0.2">
      <c r="G36" s="30" t="s">
        <v>2</v>
      </c>
      <c r="H36" s="1">
        <f>SQRT(SUM(H7:H35))</f>
        <v>672.8458955087292</v>
      </c>
      <c r="W36" s="30">
        <v>116.39447100519247</v>
      </c>
      <c r="X36" s="30">
        <v>1.120329444622602</v>
      </c>
      <c r="Y36" s="30">
        <v>112.18363739026442</v>
      </c>
      <c r="Z36" s="30">
        <v>-202.34226255832377</v>
      </c>
      <c r="AA36" s="3"/>
    </row>
    <row r="39" spans="1:27" x14ac:dyDescent="0.2">
      <c r="C39" s="30" t="s">
        <v>20</v>
      </c>
    </row>
    <row r="40" spans="1:27" x14ac:dyDescent="0.2">
      <c r="C40" s="30" t="s">
        <v>2</v>
      </c>
    </row>
    <row r="41" spans="1:27" x14ac:dyDescent="0.2">
      <c r="C41">
        <v>666.46569708602692</v>
      </c>
    </row>
    <row r="42" spans="1:27" x14ac:dyDescent="0.2">
      <c r="C42"/>
    </row>
    <row r="43" spans="1:27" x14ac:dyDescent="0.2">
      <c r="C43"/>
    </row>
    <row r="44" spans="1:27" x14ac:dyDescent="0.2">
      <c r="C44"/>
    </row>
    <row r="45" spans="1:27" x14ac:dyDescent="0.2">
      <c r="C45"/>
    </row>
    <row r="46" spans="1:27" x14ac:dyDescent="0.2">
      <c r="C46"/>
    </row>
    <row r="47" spans="1:27" x14ac:dyDescent="0.2">
      <c r="C47"/>
    </row>
    <row r="48" spans="1:27" x14ac:dyDescent="0.2">
      <c r="C48"/>
    </row>
    <row r="49" spans="3:3" x14ac:dyDescent="0.2">
      <c r="C49"/>
    </row>
    <row r="50" spans="3:3" x14ac:dyDescent="0.2">
      <c r="C50"/>
    </row>
    <row r="51" spans="3:3" x14ac:dyDescent="0.2">
      <c r="C51"/>
    </row>
    <row r="52" spans="3:3" x14ac:dyDescent="0.2">
      <c r="C52"/>
    </row>
    <row r="53" spans="3:3" x14ac:dyDescent="0.2">
      <c r="C53"/>
    </row>
    <row r="54" spans="3:3" x14ac:dyDescent="0.2">
      <c r="C54"/>
    </row>
    <row r="55" spans="3:3" x14ac:dyDescent="0.2">
      <c r="C55"/>
    </row>
    <row r="56" spans="3:3" x14ac:dyDescent="0.2">
      <c r="C56"/>
    </row>
    <row r="57" spans="3:3" x14ac:dyDescent="0.2">
      <c r="C57"/>
    </row>
    <row r="58" spans="3:3" x14ac:dyDescent="0.2">
      <c r="C58"/>
    </row>
    <row r="59" spans="3:3" x14ac:dyDescent="0.2">
      <c r="C59"/>
    </row>
    <row r="60" spans="3:3" x14ac:dyDescent="0.2">
      <c r="C60"/>
    </row>
    <row r="61" spans="3:3" x14ac:dyDescent="0.2">
      <c r="C61"/>
    </row>
    <row r="62" spans="3:3" x14ac:dyDescent="0.2">
      <c r="C62"/>
    </row>
    <row r="63" spans="3:3" x14ac:dyDescent="0.2">
      <c r="C63"/>
    </row>
    <row r="64" spans="3:3" x14ac:dyDescent="0.2">
      <c r="C64"/>
    </row>
    <row r="65" spans="3:3" x14ac:dyDescent="0.2">
      <c r="C65"/>
    </row>
    <row r="66" spans="3:3" x14ac:dyDescent="0.2">
      <c r="C66"/>
    </row>
    <row r="67" spans="3:3" x14ac:dyDescent="0.2">
      <c r="C67"/>
    </row>
    <row r="68" spans="3:3" x14ac:dyDescent="0.2">
      <c r="C68"/>
    </row>
    <row r="69" spans="3:3" x14ac:dyDescent="0.2">
      <c r="C69"/>
    </row>
    <row r="70" spans="3:3" x14ac:dyDescent="0.2">
      <c r="C70"/>
    </row>
    <row r="71" spans="3:3" x14ac:dyDescent="0.2">
      <c r="C71"/>
    </row>
    <row r="72" spans="3:3" x14ac:dyDescent="0.2">
      <c r="C72"/>
    </row>
    <row r="73" spans="3:3" x14ac:dyDescent="0.2">
      <c r="C73"/>
    </row>
    <row r="74" spans="3:3" x14ac:dyDescent="0.2">
      <c r="C74"/>
    </row>
    <row r="75" spans="3:3" x14ac:dyDescent="0.2">
      <c r="C75"/>
    </row>
    <row r="76" spans="3:3" x14ac:dyDescent="0.2">
      <c r="C76"/>
    </row>
    <row r="77" spans="3:3" x14ac:dyDescent="0.2">
      <c r="C77"/>
    </row>
    <row r="78" spans="3:3" x14ac:dyDescent="0.2">
      <c r="C78"/>
    </row>
    <row r="79" spans="3:3" x14ac:dyDescent="0.2">
      <c r="C79"/>
    </row>
    <row r="80" spans="3:3" x14ac:dyDescent="0.2">
      <c r="C80"/>
    </row>
    <row r="81" spans="3:3" x14ac:dyDescent="0.2">
      <c r="C81"/>
    </row>
    <row r="82" spans="3:3" x14ac:dyDescent="0.2">
      <c r="C82"/>
    </row>
    <row r="83" spans="3:3" x14ac:dyDescent="0.2">
      <c r="C83"/>
    </row>
    <row r="84" spans="3:3" x14ac:dyDescent="0.2">
      <c r="C84"/>
    </row>
    <row r="85" spans="3:3" x14ac:dyDescent="0.2">
      <c r="C85"/>
    </row>
    <row r="86" spans="3:3" x14ac:dyDescent="0.2">
      <c r="C86"/>
    </row>
    <row r="87" spans="3:3" x14ac:dyDescent="0.2">
      <c r="C87"/>
    </row>
    <row r="88" spans="3:3" x14ac:dyDescent="0.2">
      <c r="C88"/>
    </row>
    <row r="89" spans="3:3" x14ac:dyDescent="0.2">
      <c r="C89"/>
    </row>
    <row r="90" spans="3:3" x14ac:dyDescent="0.2">
      <c r="C90"/>
    </row>
    <row r="91" spans="3:3" x14ac:dyDescent="0.2">
      <c r="C91"/>
    </row>
    <row r="92" spans="3:3" x14ac:dyDescent="0.2">
      <c r="C92"/>
    </row>
    <row r="93" spans="3:3" x14ac:dyDescent="0.2">
      <c r="C93"/>
    </row>
    <row r="94" spans="3:3" x14ac:dyDescent="0.2">
      <c r="C94"/>
    </row>
    <row r="95" spans="3:3" x14ac:dyDescent="0.2">
      <c r="C95"/>
    </row>
    <row r="96" spans="3:3" x14ac:dyDescent="0.2">
      <c r="C96"/>
    </row>
    <row r="97" spans="3:3" x14ac:dyDescent="0.2">
      <c r="C97"/>
    </row>
    <row r="98" spans="3:3" x14ac:dyDescent="0.2">
      <c r="C98"/>
    </row>
    <row r="99" spans="3:3" x14ac:dyDescent="0.2">
      <c r="C99"/>
    </row>
    <row r="100" spans="3:3" x14ac:dyDescent="0.2">
      <c r="C100"/>
    </row>
    <row r="101" spans="3:3" x14ac:dyDescent="0.2">
      <c r="C101"/>
    </row>
    <row r="102" spans="3:3" x14ac:dyDescent="0.2">
      <c r="C102"/>
    </row>
    <row r="103" spans="3:3" x14ac:dyDescent="0.2">
      <c r="C103"/>
    </row>
    <row r="104" spans="3:3" x14ac:dyDescent="0.2">
      <c r="C104"/>
    </row>
    <row r="105" spans="3:3" x14ac:dyDescent="0.2">
      <c r="C105"/>
    </row>
    <row r="106" spans="3:3" x14ac:dyDescent="0.2">
      <c r="C106"/>
    </row>
    <row r="107" spans="3:3" x14ac:dyDescent="0.2">
      <c r="C107"/>
    </row>
    <row r="108" spans="3:3" x14ac:dyDescent="0.2">
      <c r="C108"/>
    </row>
    <row r="109" spans="3:3" x14ac:dyDescent="0.2">
      <c r="C109"/>
    </row>
    <row r="110" spans="3:3" x14ac:dyDescent="0.2">
      <c r="C110" s="30">
        <v>294.42142634399795</v>
      </c>
    </row>
    <row r="111" spans="3:3" x14ac:dyDescent="0.2">
      <c r="C111" s="30">
        <v>294.42147201824287</v>
      </c>
    </row>
    <row r="112" spans="3:3" x14ac:dyDescent="0.2">
      <c r="C112" s="30">
        <v>294.42302273405431</v>
      </c>
    </row>
    <row r="113" spans="3:3" x14ac:dyDescent="0.2">
      <c r="C113" s="30">
        <v>294.42583654225973</v>
      </c>
    </row>
    <row r="114" spans="3:3" x14ac:dyDescent="0.2">
      <c r="C114" s="30">
        <v>294.42970162863008</v>
      </c>
    </row>
    <row r="115" spans="3:3" x14ac:dyDescent="0.2">
      <c r="C115" s="30">
        <v>294.43443287935418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basic5.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89090" r:id="rId5" name="Button 2">
              <controlPr defaultSize="0" print="0" autoFill="0" autoPict="0" macro="[0]!basic5.reset">
                <anchor moveWithCells="1">
                  <from>
                    <xdr:col>0</xdr:col>
                    <xdr:colOff>0</xdr:colOff>
                    <xdr:row>0</xdr:row>
                    <xdr:rowOff>25400</xdr:rowOff>
                  </from>
                  <to>
                    <xdr:col>0</xdr:col>
                    <xdr:colOff>508000</xdr:colOff>
                    <xdr:row>1</xdr:row>
                    <xdr:rowOff>0</xdr:rowOff>
                  </to>
                </anchor>
              </controlPr>
            </control>
          </mc:Choice>
        </mc:AlternateContent>
        <mc:AlternateContent xmlns:mc="http://schemas.openxmlformats.org/markup-compatibility/2006">
          <mc:Choice Requires="x14">
            <control shapeId="89101" r:id="rId6" name="Button 13">
              <controlPr defaultSize="0" print="0" autoFill="0" autoPict="0" macro="[0]!basic5.onestep">
                <anchor moveWithCells="1" sizeWithCells="1">
                  <from>
                    <xdr:col>0</xdr:col>
                    <xdr:colOff>63500</xdr:colOff>
                    <xdr:row>2</xdr:row>
                    <xdr:rowOff>88900</xdr:rowOff>
                  </from>
                  <to>
                    <xdr:col>0</xdr:col>
                    <xdr:colOff>698500</xdr:colOff>
                    <xdr:row>3</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39DB9-4210-E04A-8883-C82285CE2E54}">
  <sheetPr codeName="Sheet3"/>
  <dimension ref="A1:L60"/>
  <sheetViews>
    <sheetView tabSelected="1" topLeftCell="J2" zoomScaleNormal="100" workbookViewId="0">
      <selection activeCell="Z7" sqref="Z7"/>
    </sheetView>
  </sheetViews>
  <sheetFormatPr baseColWidth="10" defaultRowHeight="15" x14ac:dyDescent="0.2"/>
  <cols>
    <col min="9" max="9" width="18.33203125" customWidth="1"/>
    <col min="10" max="10" width="21.6640625" customWidth="1"/>
    <col min="11" max="11" width="15.1640625" customWidth="1"/>
    <col min="12" max="12" width="24.83203125" customWidth="1"/>
  </cols>
  <sheetData>
    <row r="1" spans="1:12" s="30" customFormat="1" x14ac:dyDescent="0.2">
      <c r="B1" s="30">
        <v>0</v>
      </c>
      <c r="C1" s="30">
        <v>0.1</v>
      </c>
      <c r="D1" s="30">
        <v>0.9</v>
      </c>
      <c r="H1" s="33" t="s">
        <v>130</v>
      </c>
      <c r="I1" s="33"/>
      <c r="J1" s="33"/>
      <c r="K1" s="34"/>
      <c r="L1" s="29" t="s">
        <v>131</v>
      </c>
    </row>
    <row r="2" spans="1:12" x14ac:dyDescent="0.2">
      <c r="A2" t="s">
        <v>141</v>
      </c>
      <c r="B2" t="s">
        <v>140</v>
      </c>
      <c r="C2" s="30" t="s">
        <v>136</v>
      </c>
      <c r="H2" t="s">
        <v>132</v>
      </c>
      <c r="I2" t="s">
        <v>133</v>
      </c>
      <c r="J2" t="s">
        <v>135</v>
      </c>
      <c r="K2" s="30" t="s">
        <v>136</v>
      </c>
      <c r="L2" t="s">
        <v>134</v>
      </c>
    </row>
    <row r="3" spans="1:12" x14ac:dyDescent="0.2">
      <c r="A3">
        <v>-20</v>
      </c>
      <c r="B3">
        <f>SIN(A3)</f>
        <v>-0.91294525072762767</v>
      </c>
      <c r="C3">
        <f>B3*$C$1 + B1*$D$1</f>
        <v>-9.1294525072762769E-2</v>
      </c>
      <c r="H3" s="7">
        <v>-83.990000000039799</v>
      </c>
      <c r="I3" s="7">
        <v>-83.990000000039799</v>
      </c>
      <c r="J3" s="7">
        <v>-83.990000000039799</v>
      </c>
      <c r="K3" s="7">
        <v>-8.3990000000039782</v>
      </c>
      <c r="L3">
        <v>-8.5999999999999979</v>
      </c>
    </row>
    <row r="4" spans="1:12" x14ac:dyDescent="0.2">
      <c r="A4">
        <v>-19</v>
      </c>
      <c r="B4" s="30">
        <f t="shared" ref="B4:B60" si="0">SIN(A4)</f>
        <v>-0.14987720966295234</v>
      </c>
      <c r="C4" s="30">
        <f>B4*$C$1 + C3*$D$1</f>
        <v>-9.7152793531781731E-2</v>
      </c>
      <c r="H4" s="7">
        <v>-183.3361172783043</v>
      </c>
      <c r="I4" s="7">
        <v>-183.3361172783043</v>
      </c>
      <c r="J4" s="7">
        <v>-223.75338711244694</v>
      </c>
      <c r="K4" s="7">
        <v>-29.934438711248269</v>
      </c>
      <c r="L4" s="30">
        <v>-30.53273999999999</v>
      </c>
    </row>
    <row r="5" spans="1:12" x14ac:dyDescent="0.2">
      <c r="A5" s="30">
        <v>-18</v>
      </c>
      <c r="B5" s="30">
        <f t="shared" si="0"/>
        <v>0.75098724677167605</v>
      </c>
      <c r="C5" s="30">
        <f>B5*$C$1 + C4*$D$1</f>
        <v>-1.2338789501435951E-2</v>
      </c>
      <c r="H5" s="7">
        <v>303.71701041767665</v>
      </c>
      <c r="I5" s="7">
        <v>303.71701041767665</v>
      </c>
      <c r="J5" s="7">
        <v>-84.424034300695894</v>
      </c>
      <c r="K5" s="7">
        <v>-35.383398270193034</v>
      </c>
      <c r="L5" s="30">
        <v>-37.652879386799988</v>
      </c>
    </row>
    <row r="6" spans="1:12" x14ac:dyDescent="0.2">
      <c r="A6" s="30">
        <v>-17</v>
      </c>
      <c r="B6" s="30">
        <f t="shared" si="0"/>
        <v>0.96139749187955681</v>
      </c>
      <c r="C6" s="30">
        <f>B6*$C$1 + C5*$D$1</f>
        <v>8.5034838636663335E-2</v>
      </c>
      <c r="H6" s="7">
        <v>-244.0747048232879</v>
      </c>
      <c r="I6" s="7">
        <v>-244.0747048232879</v>
      </c>
      <c r="J6" s="7">
        <v>-49.684102629601057</v>
      </c>
      <c r="K6" s="7">
        <v>-36.813468706133833</v>
      </c>
      <c r="L6" s="30">
        <v>-45.463872979085245</v>
      </c>
    </row>
    <row r="7" spans="1:12" x14ac:dyDescent="0.2">
      <c r="A7" s="30">
        <v>-16</v>
      </c>
      <c r="B7" s="30">
        <f t="shared" si="0"/>
        <v>0.2879033166650653</v>
      </c>
      <c r="C7" s="30">
        <f>B7*$C$1 + C6*$D$1</f>
        <v>0.10532168643950354</v>
      </c>
      <c r="H7" s="7">
        <v>-119.54880790981406</v>
      </c>
      <c r="I7" s="7">
        <v>-119.54880790981406</v>
      </c>
      <c r="J7" s="7">
        <v>-11.922308946133597</v>
      </c>
      <c r="K7" s="7">
        <v>-34.32435273013381</v>
      </c>
      <c r="L7" s="30">
        <v>-48.474702071921492</v>
      </c>
    </row>
    <row r="8" spans="1:12" x14ac:dyDescent="0.2">
      <c r="A8" s="30">
        <v>-15</v>
      </c>
      <c r="B8" s="30">
        <f t="shared" si="0"/>
        <v>-0.65028784015711683</v>
      </c>
      <c r="C8" s="30">
        <f>B8*$C$1 + C7*$D$1</f>
        <v>2.9760733779841508E-2</v>
      </c>
      <c r="H8" s="7">
        <v>-81.084960238240456</v>
      </c>
      <c r="I8" s="7">
        <v>-81.084960238240456</v>
      </c>
      <c r="J8" s="7">
        <v>33.446428186988442</v>
      </c>
      <c r="K8" s="7">
        <v>-27.547274638421587</v>
      </c>
      <c r="L8" s="30">
        <v>-49.806967461276365</v>
      </c>
    </row>
    <row r="9" spans="1:12" x14ac:dyDescent="0.2">
      <c r="A9" s="30">
        <v>-14</v>
      </c>
      <c r="B9" s="30">
        <f t="shared" si="0"/>
        <v>-0.99060735569487035</v>
      </c>
      <c r="C9" s="30">
        <f>B9*$C$1 + C8*$D$1</f>
        <v>-7.2276075167629683E-2</v>
      </c>
      <c r="H9" s="7">
        <v>0.73114126237654176</v>
      </c>
      <c r="I9" s="7">
        <v>0.73114126237654176</v>
      </c>
      <c r="J9" s="7">
        <v>260.64423262832861</v>
      </c>
      <c r="K9" s="7">
        <v>1.2718760882534248</v>
      </c>
      <c r="L9" s="30">
        <v>-48.098846552232111</v>
      </c>
    </row>
    <row r="10" spans="1:12" x14ac:dyDescent="0.2">
      <c r="A10" s="30">
        <v>-13</v>
      </c>
      <c r="B10" s="30">
        <f t="shared" si="0"/>
        <v>-0.42016703682664092</v>
      </c>
      <c r="C10" s="30">
        <f>B10*$C$1 + C9*$D$1</f>
        <v>-0.10706517133353081</v>
      </c>
      <c r="H10" s="7">
        <v>-14.847761105779256</v>
      </c>
      <c r="I10" s="7">
        <v>-14.847761105779256</v>
      </c>
      <c r="J10" s="7">
        <v>105.16607568306426</v>
      </c>
      <c r="K10" s="7">
        <v>11.661296047734506</v>
      </c>
      <c r="L10" s="30">
        <v>-43.926249637307698</v>
      </c>
    </row>
    <row r="11" spans="1:12" x14ac:dyDescent="0.2">
      <c r="A11" s="30">
        <v>-12</v>
      </c>
      <c r="B11" s="30">
        <f t="shared" si="0"/>
        <v>0.53657291800043494</v>
      </c>
      <c r="C11" s="30">
        <f>B11*$C$1 + C10*$D$1</f>
        <v>-4.2701362400134238E-2</v>
      </c>
      <c r="H11" s="7">
        <v>70.23121038212139</v>
      </c>
      <c r="I11" s="7">
        <v>70.23121038212139</v>
      </c>
      <c r="J11" s="7">
        <v>-21.355905754067805</v>
      </c>
      <c r="K11" s="7">
        <v>8.3595758675542751</v>
      </c>
      <c r="L11" s="30">
        <v>-34.634167395639572</v>
      </c>
    </row>
    <row r="12" spans="1:12" x14ac:dyDescent="0.2">
      <c r="A12" s="30">
        <v>-11</v>
      </c>
      <c r="B12" s="30">
        <f t="shared" si="0"/>
        <v>0.99999020655070348</v>
      </c>
      <c r="C12" s="30">
        <f>B12*$C$1 + C11*$D$1</f>
        <v>6.1567794494949535E-2</v>
      </c>
      <c r="H12" s="7">
        <v>-103.70261039488469</v>
      </c>
      <c r="I12" s="7">
        <v>-103.70261039488469</v>
      </c>
      <c r="J12" s="7">
        <v>-71.435803132862929</v>
      </c>
      <c r="K12" s="7">
        <v>0.38003796751255692</v>
      </c>
      <c r="L12" s="30">
        <v>-34.582190202835356</v>
      </c>
    </row>
    <row r="13" spans="1:12" x14ac:dyDescent="0.2">
      <c r="A13" s="30">
        <v>-10</v>
      </c>
      <c r="B13" s="30">
        <f t="shared" si="0"/>
        <v>0.54402111088936977</v>
      </c>
      <c r="C13" s="30">
        <f>B13*$C$1 + C12*$D$1</f>
        <v>0.10981312613439156</v>
      </c>
      <c r="H13" s="7">
        <v>-175.45671605957978</v>
      </c>
      <c r="I13" s="7">
        <v>-175.45671605957978</v>
      </c>
      <c r="J13" s="7">
        <v>-143.12897203099055</v>
      </c>
      <c r="K13" s="7">
        <v>-13.97086303233775</v>
      </c>
      <c r="L13" s="30">
        <v>-29.015093810731258</v>
      </c>
    </row>
    <row r="14" spans="1:12" x14ac:dyDescent="0.2">
      <c r="A14" s="30">
        <v>-9</v>
      </c>
      <c r="B14" s="30">
        <f t="shared" si="0"/>
        <v>-0.41211848524175659</v>
      </c>
      <c r="C14" s="30">
        <f>B14*$C$1 + C13*$D$1</f>
        <v>5.7619964996776747E-2</v>
      </c>
      <c r="H14" s="7">
        <v>-82.73674661345467</v>
      </c>
      <c r="I14" s="7">
        <v>-82.73674661345467</v>
      </c>
      <c r="J14" s="7">
        <v>-218.2807416693322</v>
      </c>
      <c r="K14" s="7">
        <v>-34.401850896037189</v>
      </c>
      <c r="L14" s="30">
        <v>-18.713710591249779</v>
      </c>
    </row>
    <row r="15" spans="1:12" x14ac:dyDescent="0.2">
      <c r="A15" s="30">
        <v>-8</v>
      </c>
      <c r="B15" s="30">
        <f t="shared" si="0"/>
        <v>-0.98935824662338179</v>
      </c>
      <c r="C15" s="30">
        <f>B15*$C$1 + C14*$D$1</f>
        <v>-4.7077856165239115E-2</v>
      </c>
      <c r="H15" s="7">
        <v>139.75058574151262</v>
      </c>
      <c r="I15" s="7">
        <v>139.75058574151262</v>
      </c>
      <c r="J15" s="7">
        <v>-182.19099783837009</v>
      </c>
      <c r="K15" s="7">
        <v>-49.180765590270475</v>
      </c>
      <c r="L15">
        <v>-12.022450497964424</v>
      </c>
    </row>
    <row r="16" spans="1:12" x14ac:dyDescent="0.2">
      <c r="A16" s="30">
        <v>-7</v>
      </c>
      <c r="B16" s="30">
        <f t="shared" si="0"/>
        <v>-0.65698659871878906</v>
      </c>
      <c r="C16" s="30">
        <f>B16*$C$1 + C15*$D$1</f>
        <v>-0.10806873042059412</v>
      </c>
      <c r="H16" s="7">
        <v>-164.61548935649262</v>
      </c>
      <c r="I16" s="7">
        <v>-164.61548935649262</v>
      </c>
      <c r="J16" s="7">
        <v>-143.76178145012091</v>
      </c>
      <c r="K16" s="7">
        <v>-58.638867176255516</v>
      </c>
      <c r="L16">
        <v>-8.4583034699261166</v>
      </c>
    </row>
    <row r="17" spans="1:12" x14ac:dyDescent="0.2">
      <c r="A17" s="30">
        <v>-6</v>
      </c>
      <c r="B17" s="30">
        <f t="shared" si="0"/>
        <v>0.27941549819892586</v>
      </c>
      <c r="C17" s="30">
        <f>B17*$C$1 + C16*$D$1</f>
        <v>-6.932030755864213E-2</v>
      </c>
      <c r="H17" s="7">
        <v>-71.034801572068318</v>
      </c>
      <c r="I17" s="7">
        <v>-71.034801572068318</v>
      </c>
      <c r="J17" s="7">
        <v>-75.49166302114827</v>
      </c>
      <c r="K17" s="7">
        <v>-60.324146760744796</v>
      </c>
      <c r="L17">
        <v>-11.263751457608535</v>
      </c>
    </row>
    <row r="18" spans="1:12" x14ac:dyDescent="0.2">
      <c r="A18" s="30">
        <v>-5</v>
      </c>
      <c r="B18" s="30">
        <f t="shared" si="0"/>
        <v>0.95892427466313845</v>
      </c>
      <c r="C18" s="30">
        <f>B18*$C$1 + C17*$D$1</f>
        <v>3.3504150663535931E-2</v>
      </c>
      <c r="H18" s="7">
        <v>-108.09523684251872</v>
      </c>
      <c r="I18" s="7">
        <v>-108.09523684251872</v>
      </c>
      <c r="J18" s="7">
        <v>-124.64359768500799</v>
      </c>
      <c r="K18" s="7">
        <v>-66.756091853171114</v>
      </c>
      <c r="L18">
        <v>-6.7045666773255306</v>
      </c>
    </row>
    <row r="19" spans="1:12" x14ac:dyDescent="0.2">
      <c r="A19" s="30">
        <v>-4</v>
      </c>
      <c r="B19" s="30">
        <f t="shared" si="0"/>
        <v>0.7568024953079282</v>
      </c>
      <c r="C19" s="30">
        <f>B19*$C$1 + C18*$D$1</f>
        <v>0.10583398512797518</v>
      </c>
      <c r="H19" s="7">
        <v>-0.37177649308785599</v>
      </c>
      <c r="I19" s="7">
        <v>-0.37177649308785599</v>
      </c>
      <c r="J19" s="7">
        <v>-109.76494141241346</v>
      </c>
      <c r="K19" s="7">
        <v>-71.056976809095346</v>
      </c>
      <c r="L19">
        <v>-1.0624346748143241</v>
      </c>
    </row>
    <row r="20" spans="1:12" x14ac:dyDescent="0.2">
      <c r="A20" s="30">
        <v>-3</v>
      </c>
      <c r="B20" s="30">
        <f t="shared" si="0"/>
        <v>-0.14112000805986721</v>
      </c>
      <c r="C20" s="30">
        <f>B20*$C$1 + C19*$D$1</f>
        <v>8.1138585809190936E-2</v>
      </c>
      <c r="H20" s="7">
        <v>65.809467033363944</v>
      </c>
      <c r="I20" s="7">
        <v>65.809467033363944</v>
      </c>
      <c r="J20" s="7">
        <v>-90.047339247530545</v>
      </c>
      <c r="K20" s="7">
        <v>-72.956013052938857</v>
      </c>
      <c r="L20">
        <v>17.202080085222857</v>
      </c>
    </row>
    <row r="21" spans="1:12" x14ac:dyDescent="0.2">
      <c r="A21" s="30">
        <v>-2</v>
      </c>
      <c r="B21" s="30">
        <f t="shared" si="0"/>
        <v>-0.90929742682568171</v>
      </c>
      <c r="C21" s="30">
        <f>B21*$C$1 + C20*$D$1</f>
        <v>-1.7905015454296333E-2</v>
      </c>
      <c r="H21" s="7">
        <v>-101.3226160537215</v>
      </c>
      <c r="I21" s="7">
        <v>-101.3226160537215</v>
      </c>
      <c r="J21" s="7">
        <v>-37.722079348668558</v>
      </c>
      <c r="K21" s="7">
        <v>-69.432619682511827</v>
      </c>
      <c r="L21">
        <v>12.336843999518804</v>
      </c>
    </row>
    <row r="22" spans="1:12" x14ac:dyDescent="0.2">
      <c r="A22" s="30">
        <v>-1</v>
      </c>
      <c r="B22" s="30">
        <f t="shared" si="0"/>
        <v>-0.8414709848078965</v>
      </c>
      <c r="C22" s="30">
        <f>B22*$C$1 + C21*$D$1</f>
        <v>-0.10026161238965636</v>
      </c>
      <c r="H22" s="7">
        <v>-124.97692391489181</v>
      </c>
      <c r="I22" s="7">
        <v>-124.97692391489181</v>
      </c>
      <c r="J22" s="7">
        <v>10.961699823127447</v>
      </c>
      <c r="K22" s="7">
        <v>-61.393187731947904</v>
      </c>
      <c r="L22">
        <v>8.8780471992398606</v>
      </c>
    </row>
    <row r="23" spans="1:12" x14ac:dyDescent="0.2">
      <c r="A23" s="30">
        <v>0</v>
      </c>
      <c r="B23" s="30">
        <f t="shared" si="0"/>
        <v>0</v>
      </c>
      <c r="C23" s="30">
        <f>B23*$C$1 + C22*$D$1</f>
        <v>-9.0235451150690732E-2</v>
      </c>
      <c r="H23" s="7">
        <v>-134.55664424418501</v>
      </c>
      <c r="I23" s="7">
        <v>-134.55664424418501</v>
      </c>
      <c r="J23" s="7">
        <v>83.677044052501515</v>
      </c>
      <c r="K23" s="7">
        <v>-46.886164553502965</v>
      </c>
      <c r="L23">
        <v>6.1300923575236901</v>
      </c>
    </row>
    <row r="24" spans="1:12" x14ac:dyDescent="0.2">
      <c r="A24" s="30">
        <v>1</v>
      </c>
      <c r="B24" s="30">
        <f t="shared" si="0"/>
        <v>0.8414709848078965</v>
      </c>
      <c r="C24" s="30">
        <f>B24*$C$1 + C23*$D$1</f>
        <v>2.9351924451680028E-3</v>
      </c>
      <c r="H24" s="7">
        <v>-89.455867848096204</v>
      </c>
      <c r="I24" s="7">
        <v>-89.455867848096204</v>
      </c>
      <c r="J24" s="7">
        <v>71.68269043543205</v>
      </c>
      <c r="K24" s="7">
        <v>-35.029279054609468</v>
      </c>
      <c r="L24">
        <v>2.0250021052155738</v>
      </c>
    </row>
    <row r="25" spans="1:12" x14ac:dyDescent="0.2">
      <c r="A25" s="30">
        <v>2</v>
      </c>
      <c r="B25" s="30">
        <f t="shared" si="0"/>
        <v>0.90929742682568171</v>
      </c>
      <c r="C25" s="30">
        <f>B25*$C$1 + C24*$D$1</f>
        <v>9.3571415883219378E-2</v>
      </c>
      <c r="H25" s="7">
        <v>-61.308230213330717</v>
      </c>
      <c r="I25" s="7">
        <v>-61.308230213330717</v>
      </c>
      <c r="J25" s="7">
        <v>4.8450392263955422</v>
      </c>
      <c r="K25" s="7">
        <v>-31.041847226508967</v>
      </c>
      <c r="L25">
        <v>-3.221197843444437</v>
      </c>
    </row>
    <row r="26" spans="1:12" x14ac:dyDescent="0.2">
      <c r="A26" s="30">
        <v>3</v>
      </c>
      <c r="B26" s="30">
        <f t="shared" si="0"/>
        <v>0.14112000805986721</v>
      </c>
      <c r="C26" s="30">
        <f>B26*$C$1 + C25*$D$1</f>
        <v>9.8326275100884167E-2</v>
      </c>
      <c r="H26" s="7">
        <v>-82.902195492738429</v>
      </c>
      <c r="I26" s="7">
        <v>-82.902195492738429</v>
      </c>
      <c r="J26" s="7">
        <v>466.71540657989681</v>
      </c>
      <c r="K26" s="7">
        <v>18.733878154131602</v>
      </c>
      <c r="L26">
        <v>-3.8939328126848425</v>
      </c>
    </row>
    <row r="27" spans="1:12" x14ac:dyDescent="0.2">
      <c r="A27" s="30">
        <v>4</v>
      </c>
      <c r="B27" s="30">
        <f t="shared" si="0"/>
        <v>-0.7568024953079282</v>
      </c>
      <c r="C27" s="30">
        <f>B27*$C$1 + C26*$D$1</f>
        <v>1.2813398060002923E-2</v>
      </c>
      <c r="H27" s="7">
        <v>374.63080015368178</v>
      </c>
      <c r="I27" s="7">
        <v>374.63080015368178</v>
      </c>
      <c r="J27" s="7">
        <v>195.2643917655223</v>
      </c>
      <c r="K27" s="7">
        <v>36.386929515270666</v>
      </c>
      <c r="L27">
        <v>-3.4014746289864686</v>
      </c>
    </row>
    <row r="28" spans="1:12" x14ac:dyDescent="0.2">
      <c r="A28" s="30">
        <v>5</v>
      </c>
      <c r="B28" s="30">
        <f t="shared" si="0"/>
        <v>-0.95892427466313845</v>
      </c>
      <c r="C28" s="30">
        <f>B28*$C$1 + C27*$D$1</f>
        <v>-8.4360369212311215E-2</v>
      </c>
      <c r="H28" s="7">
        <v>500</v>
      </c>
      <c r="I28" s="7">
        <v>-337.77549040132726</v>
      </c>
      <c r="J28" s="7">
        <v>-232.06599984496279</v>
      </c>
      <c r="K28" s="7">
        <v>9.5416365792473279</v>
      </c>
      <c r="L28">
        <v>-5.6697989263799542</v>
      </c>
    </row>
    <row r="29" spans="1:12" x14ac:dyDescent="0.2">
      <c r="A29" s="30">
        <v>6</v>
      </c>
      <c r="B29" s="30">
        <f t="shared" si="0"/>
        <v>-0.27941549819892586</v>
      </c>
      <c r="C29" s="30">
        <f>B29*$C$1 + C28*$D$1</f>
        <v>-0.1038658821109727</v>
      </c>
      <c r="H29" s="7">
        <v>900</v>
      </c>
      <c r="I29" s="7">
        <v>-165.70793530345327</v>
      </c>
      <c r="J29" s="7">
        <v>-164.23633207277817</v>
      </c>
      <c r="K29" s="7">
        <v>-7.8361602859552182</v>
      </c>
      <c r="L29">
        <v>-9.909683291232696</v>
      </c>
    </row>
    <row r="30" spans="1:12" x14ac:dyDescent="0.2">
      <c r="A30" s="30">
        <v>7</v>
      </c>
      <c r="B30" s="30">
        <f t="shared" si="0"/>
        <v>0.65698659871878906</v>
      </c>
      <c r="C30" s="30">
        <f>B30*$C$1 + C29*$D$1</f>
        <v>-2.778063402799652E-2</v>
      </c>
      <c r="H30" s="7"/>
      <c r="I30" s="7">
        <v>-125.67479371650734</v>
      </c>
      <c r="J30" s="7">
        <v>-125.83700569266512</v>
      </c>
      <c r="K30" s="7">
        <v>-19.636244826626204</v>
      </c>
      <c r="L30">
        <v>-14.183711406269463</v>
      </c>
    </row>
    <row r="31" spans="1:12" x14ac:dyDescent="0.2">
      <c r="A31" s="30">
        <v>8</v>
      </c>
      <c r="B31" s="30">
        <f t="shared" si="0"/>
        <v>0.98935824662338179</v>
      </c>
      <c r="C31" s="30">
        <f>B31*$C$1 + C30*$D$1</f>
        <v>7.3933254037141322E-2</v>
      </c>
      <c r="H31" s="7"/>
      <c r="I31" s="7">
        <v>-89.649658757798534</v>
      </c>
      <c r="J31" s="7">
        <v>-89.833078443712111</v>
      </c>
      <c r="K31" s="7">
        <v>-26.655928188334791</v>
      </c>
      <c r="L31">
        <v>-18.333926690207889</v>
      </c>
    </row>
    <row r="32" spans="1:12" x14ac:dyDescent="0.2">
      <c r="A32" s="30">
        <v>9</v>
      </c>
      <c r="B32" s="30">
        <f t="shared" si="0"/>
        <v>0.41211848524175659</v>
      </c>
      <c r="C32" s="30">
        <f>B32*$C$1 + C31*$D$1</f>
        <v>0.10775177715760287</v>
      </c>
      <c r="H32" s="7"/>
      <c r="I32" s="7">
        <v>-113.64965875782218</v>
      </c>
      <c r="J32" s="7">
        <v>-83.990000000039799</v>
      </c>
      <c r="K32" s="7">
        <v>-32.389335369505289</v>
      </c>
    </row>
    <row r="33" spans="1:11" x14ac:dyDescent="0.2">
      <c r="A33" s="30">
        <v>10</v>
      </c>
      <c r="B33" s="30">
        <f t="shared" si="0"/>
        <v>-0.54402111088936977</v>
      </c>
      <c r="C33" s="30">
        <f>B33*$C$1 + C32*$D$1</f>
        <v>4.2574488352905608E-2</v>
      </c>
      <c r="H33" s="7"/>
      <c r="I33" s="7">
        <v>-401.62692882513511</v>
      </c>
      <c r="J33" s="7">
        <v>-348.27885727536341</v>
      </c>
      <c r="K33" s="7">
        <v>-63.97828756009109</v>
      </c>
    </row>
    <row r="34" spans="1:11" x14ac:dyDescent="0.2">
      <c r="A34" s="30">
        <v>11</v>
      </c>
      <c r="B34" s="30">
        <f t="shared" si="0"/>
        <v>-0.99999020655070348</v>
      </c>
      <c r="C34" s="30">
        <f>B34*$C$1 + C33*$D$1</f>
        <v>-6.1681981137455308E-2</v>
      </c>
      <c r="H34" s="7"/>
      <c r="I34" s="7">
        <v>-169.54660344017611</v>
      </c>
      <c r="J34" s="7">
        <v>-163.67584693662138</v>
      </c>
      <c r="K34" s="7">
        <v>-73.948043497744123</v>
      </c>
    </row>
    <row r="35" spans="1:11" x14ac:dyDescent="0.2">
      <c r="A35" s="30">
        <v>12</v>
      </c>
      <c r="B35" s="30">
        <f t="shared" si="0"/>
        <v>-0.53657291800043494</v>
      </c>
      <c r="C35" s="30">
        <f>B35*$C$1 + C34*$D$1</f>
        <v>-0.10917107482375328</v>
      </c>
      <c r="H35" s="7"/>
      <c r="I35" s="7">
        <v>-261.51269411930116</v>
      </c>
      <c r="J35" s="7">
        <v>-260.19808923592791</v>
      </c>
      <c r="K35" s="7">
        <v>-92.573048071562511</v>
      </c>
    </row>
    <row r="36" spans="1:11" x14ac:dyDescent="0.2">
      <c r="A36" s="30">
        <v>13</v>
      </c>
      <c r="B36" s="30">
        <f t="shared" si="0"/>
        <v>0.42016703682664092</v>
      </c>
      <c r="C36" s="30">
        <f>B36*$C$1 + C35*$D$1</f>
        <v>-5.6237263658713857E-2</v>
      </c>
      <c r="H36" s="7"/>
      <c r="I36" s="7">
        <v>-169.4603915809239</v>
      </c>
      <c r="J36" s="7">
        <v>-169.93742225695314</v>
      </c>
      <c r="K36" s="7">
        <v>-100.30948549010158</v>
      </c>
    </row>
    <row r="37" spans="1:11" x14ac:dyDescent="0.2">
      <c r="A37" s="30">
        <v>14</v>
      </c>
      <c r="B37" s="30">
        <f t="shared" si="0"/>
        <v>0.99060735569487035</v>
      </c>
      <c r="C37" s="30">
        <f>B37*$C$1 + C36*$D$1</f>
        <v>4.8447198276644565E-2</v>
      </c>
      <c r="H37" s="7"/>
      <c r="I37" s="7">
        <v>-173.42649950251143</v>
      </c>
      <c r="J37" s="7">
        <v>-173.91736036006478</v>
      </c>
      <c r="K37" s="7">
        <v>-107.67027297709789</v>
      </c>
    </row>
    <row r="38" spans="1:11" x14ac:dyDescent="0.2">
      <c r="A38" s="30">
        <v>15</v>
      </c>
      <c r="B38" s="30">
        <f t="shared" si="0"/>
        <v>0.65028784015711683</v>
      </c>
      <c r="C38" s="30">
        <f>B38*$C$1 + C37*$D$1</f>
        <v>0.10863126246469179</v>
      </c>
      <c r="H38" s="7"/>
      <c r="I38" s="7">
        <v>-345.3918142033217</v>
      </c>
      <c r="J38" s="7">
        <v>-345.89582630505902</v>
      </c>
      <c r="K38" s="7">
        <v>-131.49282830989401</v>
      </c>
    </row>
    <row r="39" spans="1:11" x14ac:dyDescent="0.2">
      <c r="A39" s="30">
        <v>16</v>
      </c>
      <c r="B39" s="30">
        <f t="shared" si="0"/>
        <v>-0.2879033166650653</v>
      </c>
      <c r="C39" s="30">
        <f>B39*$C$1 + C38*$D$1</f>
        <v>6.8977804551716079E-2</v>
      </c>
      <c r="H39" s="7"/>
      <c r="I39" s="7">
        <v>-305.32273583958158</v>
      </c>
      <c r="J39" s="7">
        <v>-305.86952773956</v>
      </c>
      <c r="K39" s="7">
        <v>-148.93049825286062</v>
      </c>
    </row>
    <row r="40" spans="1:11" x14ac:dyDescent="0.2">
      <c r="A40" s="30">
        <v>17</v>
      </c>
      <c r="B40" s="30">
        <f t="shared" si="0"/>
        <v>-0.96139749187955681</v>
      </c>
      <c r="C40" s="30">
        <f>B40*$C$1 + C39*$D$1</f>
        <v>-3.4059725091411218E-2</v>
      </c>
      <c r="H40" s="7"/>
      <c r="I40" s="7">
        <v>-393.26167129183887</v>
      </c>
      <c r="J40" s="7">
        <v>-393.83974164011306</v>
      </c>
      <c r="K40" s="7">
        <v>-173.42142259158587</v>
      </c>
    </row>
    <row r="41" spans="1:11" x14ac:dyDescent="0.2">
      <c r="A41" s="30">
        <v>18</v>
      </c>
      <c r="B41" s="30">
        <f t="shared" si="0"/>
        <v>-0.75098724677167605</v>
      </c>
      <c r="C41" s="30">
        <f>B41*$C$1 + C40*$D$1</f>
        <v>-0.1057524772594377</v>
      </c>
      <c r="H41" s="7"/>
      <c r="I41" s="7">
        <v>-117.18301895830336</v>
      </c>
      <c r="J41" s="7">
        <v>-117.80505735559927</v>
      </c>
      <c r="K41" s="7">
        <v>-167.85978606798722</v>
      </c>
    </row>
    <row r="42" spans="1:11" x14ac:dyDescent="0.2">
      <c r="A42" s="30">
        <v>19</v>
      </c>
      <c r="B42" s="30">
        <f t="shared" si="0"/>
        <v>0.14987720966295234</v>
      </c>
      <c r="C42" s="30">
        <f>B42*$C$1 + C41*$D$1</f>
        <v>-8.0189508567198697E-2</v>
      </c>
      <c r="H42" s="7"/>
      <c r="I42" s="7">
        <v>-225.15958235471771</v>
      </c>
      <c r="J42" s="7">
        <v>-225.77148539839982</v>
      </c>
      <c r="K42" s="7">
        <v>-173.65095600102848</v>
      </c>
    </row>
    <row r="43" spans="1:11" x14ac:dyDescent="0.2">
      <c r="A43" s="30">
        <v>20</v>
      </c>
      <c r="B43" s="30">
        <f t="shared" si="0"/>
        <v>0.91294525072762767</v>
      </c>
      <c r="C43" s="30">
        <f>B43*$C$1 + C42*$D$1</f>
        <v>1.9123967362283945E-2</v>
      </c>
      <c r="H43" s="7"/>
      <c r="I43" s="7">
        <v>-305.11455043779279</v>
      </c>
      <c r="J43" s="7">
        <v>-305.73675520718098</v>
      </c>
      <c r="K43" s="7">
        <v>-186.85953592164373</v>
      </c>
    </row>
    <row r="44" spans="1:11" x14ac:dyDescent="0.2">
      <c r="A44" s="30">
        <v>21</v>
      </c>
      <c r="B44" s="30">
        <f t="shared" si="0"/>
        <v>0.83665563853605607</v>
      </c>
      <c r="C44" s="30">
        <f>B44*$C$1 + C43*$D$1</f>
        <v>0.10087713447966117</v>
      </c>
      <c r="H44" s="7"/>
      <c r="I44" s="7">
        <v>-245.05352752803446</v>
      </c>
      <c r="J44" s="7">
        <v>-245.69938330023433</v>
      </c>
      <c r="K44" s="7">
        <v>-192.74352065950279</v>
      </c>
    </row>
    <row r="45" spans="1:11" x14ac:dyDescent="0.2">
      <c r="A45" s="30">
        <v>22</v>
      </c>
      <c r="B45" s="30">
        <f t="shared" si="0"/>
        <v>-8.8513092904038762E-3</v>
      </c>
      <c r="C45" s="30">
        <f>B45*$C$1 + C44*$D$1</f>
        <v>8.990429010265466E-2</v>
      </c>
      <c r="H45" s="7"/>
      <c r="I45" s="7">
        <v>-197.00451682256244</v>
      </c>
      <c r="J45" s="7">
        <v>-197.66083459599031</v>
      </c>
      <c r="K45" s="7">
        <v>-193.23525205315156</v>
      </c>
    </row>
    <row r="46" spans="1:11" x14ac:dyDescent="0.2">
      <c r="A46" s="30">
        <v>23</v>
      </c>
      <c r="B46" s="30">
        <f t="shared" si="0"/>
        <v>-0.84622040417517064</v>
      </c>
      <c r="C46" s="30">
        <f>B46*$C$1 + C45*$D$1</f>
        <v>-3.708179325127875E-3</v>
      </c>
      <c r="H46" s="7"/>
      <c r="I46" s="7">
        <v>-92.965115919059826</v>
      </c>
      <c r="J46" s="7">
        <v>-93.622187545406632</v>
      </c>
      <c r="K46" s="7">
        <v>-183.27394560237707</v>
      </c>
    </row>
    <row r="47" spans="1:11" x14ac:dyDescent="0.2">
      <c r="A47" s="30">
        <v>24</v>
      </c>
      <c r="B47" s="30">
        <f t="shared" si="0"/>
        <v>-0.90557836200662389</v>
      </c>
      <c r="C47" s="30">
        <f>B47*$C$1 + C46*$D$1</f>
        <v>-9.3895197593277482E-2</v>
      </c>
      <c r="H47" s="7"/>
      <c r="I47" s="7">
        <v>-208.9465228958943</v>
      </c>
      <c r="J47" s="7">
        <v>-209.58553275631857</v>
      </c>
      <c r="K47" s="7">
        <v>-185.90510431777122</v>
      </c>
    </row>
    <row r="48" spans="1:11" x14ac:dyDescent="0.2">
      <c r="A48" s="30">
        <v>25</v>
      </c>
      <c r="B48" s="30">
        <f t="shared" si="0"/>
        <v>-0.13235175009777303</v>
      </c>
      <c r="C48" s="30">
        <f>B48*$C$1 + C47*$D$1</f>
        <v>-9.7740852843727036E-2</v>
      </c>
      <c r="H48" s="7"/>
      <c r="I48" s="7">
        <v>-232.90473359156749</v>
      </c>
      <c r="J48" s="7">
        <v>-233.54835173558968</v>
      </c>
      <c r="K48" s="7">
        <v>-190.66942905955307</v>
      </c>
    </row>
    <row r="49" spans="1:11" x14ac:dyDescent="0.2">
      <c r="A49" s="30">
        <v>26</v>
      </c>
      <c r="B49" s="30">
        <f t="shared" si="0"/>
        <v>0.76255845047960269</v>
      </c>
      <c r="C49" s="30">
        <f>B49*$C$1 + C48*$D$1</f>
        <v>-1.1710922511394051E-2</v>
      </c>
      <c r="H49" s="7"/>
      <c r="I49" s="7">
        <v>-452.8581526443304</v>
      </c>
      <c r="J49" s="7">
        <v>-453.51021785099874</v>
      </c>
      <c r="K49" s="7">
        <v>-216.95350793869764</v>
      </c>
    </row>
    <row r="50" spans="1:11" x14ac:dyDescent="0.2">
      <c r="A50" s="30">
        <v>27</v>
      </c>
      <c r="B50" s="30">
        <f t="shared" si="0"/>
        <v>0.95637592840450303</v>
      </c>
      <c r="C50" s="30">
        <f>B50*$C$1 + C49*$D$1</f>
        <v>8.5097762580195663E-2</v>
      </c>
      <c r="H50" s="7"/>
      <c r="I50" s="7">
        <v>-108.76758101403539</v>
      </c>
      <c r="J50" s="7">
        <v>-109.46682714802591</v>
      </c>
      <c r="K50" s="7">
        <v>-206.20483985963048</v>
      </c>
    </row>
    <row r="51" spans="1:11" x14ac:dyDescent="0.2">
      <c r="A51" s="30">
        <v>28</v>
      </c>
      <c r="B51" s="30">
        <f t="shared" si="0"/>
        <v>0.27090578830786904</v>
      </c>
      <c r="C51" s="30">
        <f>B51*$C$1 + C50*$D$1</f>
        <v>0.103678565152963</v>
      </c>
      <c r="H51" s="7"/>
      <c r="I51" s="7">
        <v>-140.74582749772162</v>
      </c>
      <c r="J51" s="7">
        <v>-141.42558618023031</v>
      </c>
      <c r="K51" s="7">
        <v>-199.72691449169048</v>
      </c>
    </row>
    <row r="52" spans="1:11" x14ac:dyDescent="0.2">
      <c r="A52" s="30">
        <v>29</v>
      </c>
      <c r="B52" s="30">
        <f t="shared" si="0"/>
        <v>-0.66363388421296754</v>
      </c>
      <c r="C52" s="30">
        <f>B52*$C$1 + C51*$D$1</f>
        <v>2.6947320216369947E-2</v>
      </c>
      <c r="H52" s="7"/>
      <c r="I52" s="7">
        <v>-168.71767833226841</v>
      </c>
      <c r="J52" s="7">
        <v>-169.38564079728167</v>
      </c>
      <c r="K52" s="7">
        <v>-196.6927871222496</v>
      </c>
    </row>
    <row r="53" spans="1:11" x14ac:dyDescent="0.2">
      <c r="A53" s="30">
        <v>30</v>
      </c>
      <c r="B53" s="30">
        <f t="shared" si="0"/>
        <v>-0.98803162409286183</v>
      </c>
      <c r="C53" s="30">
        <f>B53*$C$1 + C52*$D$1</f>
        <v>-7.4550574214553231E-2</v>
      </c>
      <c r="H53" s="7"/>
      <c r="I53" s="7">
        <v>-136.68393479674705</v>
      </c>
      <c r="J53" s="7">
        <v>-137.3463022397118</v>
      </c>
      <c r="K53" s="7">
        <v>-190.75813863399583</v>
      </c>
    </row>
    <row r="54" spans="1:11" x14ac:dyDescent="0.2">
      <c r="A54" s="30">
        <v>31</v>
      </c>
      <c r="B54" s="30">
        <f t="shared" si="0"/>
        <v>-0.40403764532306502</v>
      </c>
      <c r="C54" s="30">
        <f>B54*$C$1 + C53*$D$1</f>
        <v>-0.10749928132540443</v>
      </c>
      <c r="H54" s="7"/>
      <c r="I54" s="7">
        <v>-88.656598009811205</v>
      </c>
      <c r="J54" s="7">
        <v>-89.30815061200974</v>
      </c>
      <c r="K54" s="7">
        <v>-180.61313983179721</v>
      </c>
    </row>
    <row r="55" spans="1:11" x14ac:dyDescent="0.2">
      <c r="A55" s="30">
        <v>32</v>
      </c>
      <c r="B55" s="30">
        <f t="shared" si="0"/>
        <v>0.55142668124169059</v>
      </c>
      <c r="C55" s="30">
        <f>B55*$C$1 + C54*$D$1</f>
        <v>-4.1606685068694922E-2</v>
      </c>
      <c r="H55" s="7"/>
      <c r="I55" s="7">
        <v>-312.63886668966734</v>
      </c>
      <c r="J55" s="7">
        <v>-313.27202798347571</v>
      </c>
      <c r="K55" s="7">
        <v>-193.87902864696505</v>
      </c>
    </row>
    <row r="56" spans="1:11" x14ac:dyDescent="0.2">
      <c r="A56" s="30">
        <v>33</v>
      </c>
      <c r="B56" s="30">
        <f t="shared" si="0"/>
        <v>0.99991186010726718</v>
      </c>
      <c r="C56" s="30">
        <f>B56*$C$1 + C55*$D$1</f>
        <v>6.2545169448901289E-2</v>
      </c>
      <c r="H56" s="7"/>
      <c r="I56" s="7">
        <v>-452.57633891669684</v>
      </c>
      <c r="J56" s="7">
        <v>-453.23325217759702</v>
      </c>
      <c r="K56" s="7">
        <v>-219.81445100002824</v>
      </c>
    </row>
    <row r="57" spans="1:11" x14ac:dyDescent="0.2">
      <c r="A57" s="30">
        <v>34</v>
      </c>
      <c r="B57" s="30">
        <f t="shared" si="0"/>
        <v>0.52908268612002385</v>
      </c>
      <c r="C57" s="30">
        <f>B57*$C$1 + C56*$D$1</f>
        <v>0.10919892111601355</v>
      </c>
      <c r="H57" s="7"/>
      <c r="I57" s="7">
        <v>-336.48582364985486</v>
      </c>
      <c r="J57" s="7">
        <v>-337.18928928901732</v>
      </c>
      <c r="K57" s="7">
        <v>-231.55193482892716</v>
      </c>
    </row>
    <row r="58" spans="1:11" x14ac:dyDescent="0.2">
      <c r="A58" s="30">
        <v>35</v>
      </c>
      <c r="B58" s="30">
        <f t="shared" si="0"/>
        <v>-0.42818266949615102</v>
      </c>
      <c r="C58" s="30">
        <f>B58*$C$1 + C57*$D$1</f>
        <v>5.5460762054797094E-2</v>
      </c>
      <c r="H58" s="7"/>
      <c r="I58" s="7">
        <v>-164.41852648440545</v>
      </c>
      <c r="J58" s="7">
        <v>-165.14297890125818</v>
      </c>
      <c r="K58" s="7">
        <v>-224.91103923616026</v>
      </c>
    </row>
    <row r="59" spans="1:11" x14ac:dyDescent="0.2">
      <c r="A59" s="30">
        <v>36</v>
      </c>
      <c r="B59" s="30">
        <f t="shared" si="0"/>
        <v>-0.99177885344311578</v>
      </c>
      <c r="C59" s="30">
        <f>B59*$C$1 + C58*$D$1</f>
        <v>-4.9263199494994199E-2</v>
      </c>
      <c r="H59" s="7"/>
      <c r="I59" s="7">
        <v>-124.38564277908881</v>
      </c>
      <c r="J59" s="7">
        <v>-125.09799669337553</v>
      </c>
      <c r="K59" s="7">
        <v>-214.92973498188181</v>
      </c>
    </row>
    <row r="60" spans="1:11" x14ac:dyDescent="0.2">
      <c r="A60" s="30">
        <v>37</v>
      </c>
      <c r="B60" s="30">
        <f t="shared" si="0"/>
        <v>-0.6435381333569995</v>
      </c>
      <c r="C60" s="30">
        <f>B60*$C$1 + C59*$D$1</f>
        <v>-0.10869069288119473</v>
      </c>
      <c r="H60" s="7"/>
      <c r="I60" s="7">
        <v>-88.360765650486428</v>
      </c>
      <c r="J60" s="7">
        <v>-89.055010746301377</v>
      </c>
      <c r="K60" s="7">
        <v>-202.34226255832377</v>
      </c>
    </row>
  </sheetData>
  <mergeCells count="1">
    <mergeCell ref="H1:J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18.010899129214945</v>
      </c>
      <c r="D1" s="12" t="s">
        <v>14</v>
      </c>
      <c r="F1" s="7">
        <v>2.4732680321894231</v>
      </c>
      <c r="G1" s="7">
        <v>105.12925181546979</v>
      </c>
    </row>
    <row r="2" spans="1:9" x14ac:dyDescent="0.2">
      <c r="B2" s="11" t="s">
        <v>22</v>
      </c>
      <c r="C2" s="5">
        <v>2.1967341791998956</v>
      </c>
      <c r="D2">
        <v>1E-3</v>
      </c>
      <c r="F2" s="9">
        <f>$D$2/F1</f>
        <v>4.0432334344076937E-4</v>
      </c>
      <c r="G2" s="9">
        <f>$D$2/G1</f>
        <v>9.5121004166877363E-6</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18.010899129214945</v>
      </c>
      <c r="D4" s="5">
        <f>C2</f>
        <v>2.1967341791998956</v>
      </c>
      <c r="E4" s="5">
        <f>C4+D4*A4</f>
        <v>48.765177638013483</v>
      </c>
      <c r="F4" s="7">
        <f t="shared" ref="F4:F32" si="0">2*(D4*A4+C4-B4)</f>
        <v>-18.469644723973033</v>
      </c>
      <c r="G4" s="7">
        <f t="shared" ref="G4:G32" si="1">F4*A4</f>
        <v>-258.57502613562247</v>
      </c>
      <c r="H4" s="3">
        <f t="shared" ref="H4:H32" si="2">C4-F4*F$2</f>
        <v>18.018366837721906</v>
      </c>
      <c r="I4" s="3">
        <f t="shared" ref="I4:I32" si="3">D4-G4*G$2</f>
        <v>2.1991937708137455</v>
      </c>
    </row>
    <row r="5" spans="1:9" x14ac:dyDescent="0.2">
      <c r="A5">
        <v>86</v>
      </c>
      <c r="B5">
        <v>202</v>
      </c>
      <c r="C5" s="5">
        <f>H4</f>
        <v>18.018366837721906</v>
      </c>
      <c r="D5" s="5">
        <f>I4</f>
        <v>2.1991937708137455</v>
      </c>
      <c r="E5" s="5">
        <f>C5+D5*A5</f>
        <v>207.14903112770403</v>
      </c>
      <c r="F5" s="7">
        <f t="shared" si="0"/>
        <v>10.29806225540807</v>
      </c>
      <c r="G5" s="7">
        <f t="shared" si="1"/>
        <v>885.63335396509399</v>
      </c>
      <c r="H5" s="3">
        <f t="shared" si="2"/>
        <v>18.014203090759839</v>
      </c>
      <c r="I5" s="3">
        <f t="shared" si="3"/>
        <v>2.1907695374184617</v>
      </c>
    </row>
    <row r="6" spans="1:9" x14ac:dyDescent="0.2">
      <c r="A6">
        <v>28</v>
      </c>
      <c r="B6">
        <v>86</v>
      </c>
      <c r="C6" s="5">
        <f>H5</f>
        <v>18.014203090759839</v>
      </c>
      <c r="D6" s="5">
        <f>I5</f>
        <v>2.1907695374184617</v>
      </c>
      <c r="E6" s="5">
        <f>C6+D6*A6</f>
        <v>79.355750138476765</v>
      </c>
      <c r="F6" s="7">
        <f t="shared" si="0"/>
        <v>-13.288499723046471</v>
      </c>
      <c r="G6" s="7">
        <f t="shared" si="1"/>
        <v>-372.07799224530117</v>
      </c>
      <c r="H6" s="3">
        <f>C6-F6*F$2</f>
        <v>18.019575941397171</v>
      </c>
      <c r="I6" s="3">
        <f t="shared" si="3"/>
        <v>2.1943087806435386</v>
      </c>
    </row>
    <row r="7" spans="1:9" x14ac:dyDescent="0.2">
      <c r="A7">
        <v>51</v>
      </c>
      <c r="B7">
        <v>132</v>
      </c>
      <c r="C7" s="5">
        <f t="shared" ref="C7:C32" si="4">H6</f>
        <v>18.019575941397171</v>
      </c>
      <c r="D7" s="5">
        <f t="shared" ref="D7:D32" si="5">I6</f>
        <v>2.1943087806435386</v>
      </c>
      <c r="E7" s="5">
        <f t="shared" ref="E7:E32" si="6">C7+D7*A7</f>
        <v>129.92932375421765</v>
      </c>
      <c r="F7" s="7">
        <f t="shared" si="0"/>
        <v>-4.1413524915647031</v>
      </c>
      <c r="G7" s="7">
        <f t="shared" si="1"/>
        <v>-211.20897706979986</v>
      </c>
      <c r="H7" s="3">
        <f t="shared" si="2"/>
        <v>18.021250386882926</v>
      </c>
      <c r="I7" s="3">
        <f t="shared" si="3"/>
        <v>2.1963178216423325</v>
      </c>
    </row>
    <row r="8" spans="1:9" x14ac:dyDescent="0.2">
      <c r="A8">
        <v>28</v>
      </c>
      <c r="B8">
        <v>86</v>
      </c>
      <c r="C8" s="5">
        <f t="shared" si="4"/>
        <v>18.021250386882926</v>
      </c>
      <c r="D8" s="5">
        <f t="shared" si="5"/>
        <v>2.1963178216423325</v>
      </c>
      <c r="E8" s="5">
        <f t="shared" si="6"/>
        <v>79.518149392868239</v>
      </c>
      <c r="F8" s="7">
        <f t="shared" si="0"/>
        <v>-12.963701214263523</v>
      </c>
      <c r="G8" s="7">
        <f t="shared" si="1"/>
        <v>-362.98363399937864</v>
      </c>
      <c r="H8" s="3">
        <f t="shared" si="2"/>
        <v>18.026491913901243</v>
      </c>
      <c r="I8" s="3">
        <f t="shared" si="3"/>
        <v>2.1997705584185487</v>
      </c>
    </row>
    <row r="9" spans="1:9" x14ac:dyDescent="0.2">
      <c r="A9">
        <v>29</v>
      </c>
      <c r="B9">
        <v>88</v>
      </c>
      <c r="C9" s="5">
        <f t="shared" si="4"/>
        <v>18.026491913901243</v>
      </c>
      <c r="D9" s="5">
        <f t="shared" si="5"/>
        <v>2.1997705584185487</v>
      </c>
      <c r="E9" s="5">
        <f t="shared" si="6"/>
        <v>81.81983810803915</v>
      </c>
      <c r="F9" s="7">
        <f t="shared" si="0"/>
        <v>-12.3603237839217</v>
      </c>
      <c r="G9" s="7">
        <f t="shared" si="1"/>
        <v>-358.44938973372928</v>
      </c>
      <c r="H9" s="3">
        <f t="shared" si="2"/>
        <v>18.03148948133957</v>
      </c>
      <c r="I9" s="3">
        <f t="shared" si="3"/>
        <v>2.2031801650079963</v>
      </c>
    </row>
    <row r="10" spans="1:9" x14ac:dyDescent="0.2">
      <c r="A10">
        <v>72</v>
      </c>
      <c r="B10">
        <v>174</v>
      </c>
      <c r="C10" s="5">
        <f t="shared" si="4"/>
        <v>18.03148948133957</v>
      </c>
      <c r="D10" s="5">
        <f t="shared" si="5"/>
        <v>2.2031801650079963</v>
      </c>
      <c r="E10" s="5">
        <f t="shared" si="6"/>
        <v>176.66046136191531</v>
      </c>
      <c r="F10" s="7">
        <f t="shared" si="0"/>
        <v>5.3209227238306198</v>
      </c>
      <c r="G10" s="7">
        <f t="shared" si="1"/>
        <v>383.10643611580463</v>
      </c>
      <c r="H10" s="3">
        <f t="shared" si="2"/>
        <v>18.029338108073681</v>
      </c>
      <c r="I10" s="3">
        <f t="shared" si="3"/>
        <v>2.1995360181173833</v>
      </c>
    </row>
    <row r="11" spans="1:9" x14ac:dyDescent="0.2">
      <c r="A11">
        <v>62</v>
      </c>
      <c r="B11">
        <v>154</v>
      </c>
      <c r="C11" s="5">
        <f t="shared" si="4"/>
        <v>18.029338108073681</v>
      </c>
      <c r="D11" s="5">
        <f t="shared" si="5"/>
        <v>2.1995360181173833</v>
      </c>
      <c r="E11" s="5">
        <f t="shared" si="6"/>
        <v>154.40057123135145</v>
      </c>
      <c r="F11" s="7">
        <f t="shared" si="0"/>
        <v>0.80114246270289868</v>
      </c>
      <c r="G11" s="7">
        <f t="shared" si="1"/>
        <v>49.670832687579718</v>
      </c>
      <c r="H11" s="3">
        <f t="shared" si="2"/>
        <v>18.029014187474587</v>
      </c>
      <c r="I11" s="3">
        <f t="shared" si="3"/>
        <v>2.1990635441690785</v>
      </c>
    </row>
    <row r="12" spans="1:9" x14ac:dyDescent="0.2">
      <c r="A12">
        <v>84</v>
      </c>
      <c r="B12">
        <v>198</v>
      </c>
      <c r="C12" s="5">
        <f t="shared" si="4"/>
        <v>18.029014187474587</v>
      </c>
      <c r="D12" s="5">
        <f t="shared" si="5"/>
        <v>2.1990635441690785</v>
      </c>
      <c r="E12" s="5">
        <f t="shared" si="6"/>
        <v>202.75035189767718</v>
      </c>
      <c r="F12" s="7">
        <f t="shared" si="0"/>
        <v>9.5007037953543545</v>
      </c>
      <c r="G12" s="7">
        <f t="shared" si="1"/>
        <v>798.05911880976578</v>
      </c>
      <c r="H12" s="3">
        <f t="shared" si="2"/>
        <v>18.025172831151011</v>
      </c>
      <c r="I12" s="3">
        <f t="shared" si="3"/>
        <v>2.1914723256925068</v>
      </c>
    </row>
    <row r="13" spans="1:9" x14ac:dyDescent="0.2">
      <c r="A13">
        <v>15</v>
      </c>
      <c r="B13">
        <v>60</v>
      </c>
      <c r="C13" s="5">
        <f t="shared" si="4"/>
        <v>18.025172831151011</v>
      </c>
      <c r="D13" s="5">
        <f t="shared" si="5"/>
        <v>2.1914723256925068</v>
      </c>
      <c r="E13" s="5">
        <f t="shared" si="6"/>
        <v>50.897257716538611</v>
      </c>
      <c r="F13" s="7">
        <f t="shared" si="0"/>
        <v>-18.205484566922777</v>
      </c>
      <c r="G13" s="7">
        <f t="shared" si="1"/>
        <v>-273.08226850384165</v>
      </c>
      <c r="H13" s="3">
        <f t="shared" si="2"/>
        <v>18.032533733540067</v>
      </c>
      <c r="I13" s="3">
        <f t="shared" si="3"/>
        <v>2.1940699116525324</v>
      </c>
    </row>
    <row r="14" spans="1:9" x14ac:dyDescent="0.2">
      <c r="A14">
        <v>42</v>
      </c>
      <c r="B14">
        <v>114</v>
      </c>
      <c r="C14" s="5">
        <f t="shared" si="4"/>
        <v>18.032533733540067</v>
      </c>
      <c r="D14" s="5">
        <f t="shared" si="5"/>
        <v>2.1940699116525324</v>
      </c>
      <c r="E14" s="5">
        <f t="shared" si="6"/>
        <v>110.18347002294642</v>
      </c>
      <c r="F14" s="7">
        <f t="shared" si="0"/>
        <v>-7.6330599541071535</v>
      </c>
      <c r="G14" s="7">
        <f t="shared" si="1"/>
        <v>-320.58851807250045</v>
      </c>
      <c r="H14" s="3">
        <f t="shared" si="2"/>
        <v>18.035619957861396</v>
      </c>
      <c r="I14" s="3">
        <f t="shared" si="3"/>
        <v>2.197119381828875</v>
      </c>
    </row>
    <row r="15" spans="1:9" x14ac:dyDescent="0.2">
      <c r="A15">
        <v>62</v>
      </c>
      <c r="B15">
        <v>154</v>
      </c>
      <c r="C15" s="5">
        <f t="shared" si="4"/>
        <v>18.035619957861396</v>
      </c>
      <c r="D15" s="5">
        <f>I14</f>
        <v>2.197119381828875</v>
      </c>
      <c r="E15" s="5">
        <f t="shared" si="6"/>
        <v>154.25702163125166</v>
      </c>
      <c r="F15" s="7">
        <f t="shared" si="0"/>
        <v>0.51404326250332133</v>
      </c>
      <c r="G15" s="7">
        <f t="shared" si="1"/>
        <v>31.870682275205922</v>
      </c>
      <c r="H15" s="3">
        <f t="shared" si="2"/>
        <v>18.035412118170829</v>
      </c>
      <c r="I15" s="3">
        <f t="shared" si="3"/>
        <v>2.1968162246987251</v>
      </c>
    </row>
    <row r="16" spans="1:9" x14ac:dyDescent="0.2">
      <c r="A16">
        <v>47</v>
      </c>
      <c r="B16">
        <v>124</v>
      </c>
      <c r="C16" s="5">
        <f t="shared" si="4"/>
        <v>18.035412118170829</v>
      </c>
      <c r="D16" s="5">
        <f t="shared" si="5"/>
        <v>2.1968162246987251</v>
      </c>
      <c r="E16" s="5">
        <f t="shared" si="6"/>
        <v>121.2857746790109</v>
      </c>
      <c r="F16" s="7">
        <f t="shared" si="0"/>
        <v>-5.4284506419782019</v>
      </c>
      <c r="G16" s="7">
        <f t="shared" si="1"/>
        <v>-255.13718017297549</v>
      </c>
      <c r="H16" s="3">
        <f t="shared" si="2"/>
        <v>18.037606967484095</v>
      </c>
      <c r="I16" s="3">
        <f t="shared" si="3"/>
        <v>2.1992431151765608</v>
      </c>
    </row>
    <row r="17" spans="1:9" x14ac:dyDescent="0.2">
      <c r="A17">
        <v>35</v>
      </c>
      <c r="B17">
        <v>100</v>
      </c>
      <c r="C17" s="5">
        <f t="shared" si="4"/>
        <v>18.037606967484095</v>
      </c>
      <c r="D17" s="5">
        <f t="shared" si="5"/>
        <v>2.1992431151765608</v>
      </c>
      <c r="E17" s="5">
        <f t="shared" si="6"/>
        <v>95.011115998663726</v>
      </c>
      <c r="F17" s="7">
        <f t="shared" si="0"/>
        <v>-9.9777680026725477</v>
      </c>
      <c r="G17" s="7">
        <f t="shared" si="1"/>
        <v>-349.2218800935392</v>
      </c>
      <c r="H17" s="3">
        <f t="shared" si="2"/>
        <v>18.041641212003011</v>
      </c>
      <c r="I17" s="3">
        <f t="shared" si="3"/>
        <v>2.2025649487677148</v>
      </c>
    </row>
    <row r="18" spans="1:9" x14ac:dyDescent="0.2">
      <c r="A18">
        <v>9</v>
      </c>
      <c r="B18">
        <v>48</v>
      </c>
      <c r="C18" s="5">
        <f t="shared" si="4"/>
        <v>18.041641212003011</v>
      </c>
      <c r="D18" s="5">
        <f t="shared" si="5"/>
        <v>2.2025649487677148</v>
      </c>
      <c r="E18" s="5">
        <f t="shared" si="6"/>
        <v>37.864725750912442</v>
      </c>
      <c r="F18" s="7">
        <f t="shared" si="0"/>
        <v>-20.270548498175117</v>
      </c>
      <c r="G18" s="7">
        <f t="shared" si="1"/>
        <v>-182.43493648357605</v>
      </c>
      <c r="H18" s="3">
        <f t="shared" si="2"/>
        <v>18.04983706794517</v>
      </c>
      <c r="I18" s="3">
        <f t="shared" si="3"/>
        <v>2.2043002882030587</v>
      </c>
    </row>
    <row r="19" spans="1:9" x14ac:dyDescent="0.2">
      <c r="A19">
        <v>38</v>
      </c>
      <c r="B19">
        <v>106</v>
      </c>
      <c r="C19" s="5">
        <f t="shared" si="4"/>
        <v>18.04983706794517</v>
      </c>
      <c r="D19" s="5">
        <f t="shared" si="5"/>
        <v>2.2043002882030587</v>
      </c>
      <c r="E19" s="5">
        <f t="shared" si="6"/>
        <v>101.81324801966139</v>
      </c>
      <c r="F19" s="7">
        <f t="shared" si="0"/>
        <v>-8.3735039606772261</v>
      </c>
      <c r="G19" s="7">
        <f t="shared" si="1"/>
        <v>-318.19315050573459</v>
      </c>
      <c r="H19" s="3">
        <f t="shared" si="2"/>
        <v>18.053222671062866</v>
      </c>
      <c r="I19" s="3">
        <f t="shared" si="3"/>
        <v>2.2073269734025716</v>
      </c>
    </row>
    <row r="20" spans="1:9" x14ac:dyDescent="0.2">
      <c r="A20">
        <v>44</v>
      </c>
      <c r="B20">
        <v>118</v>
      </c>
      <c r="C20" s="5">
        <f t="shared" si="4"/>
        <v>18.053222671062866</v>
      </c>
      <c r="D20" s="5">
        <f t="shared" si="5"/>
        <v>2.2073269734025716</v>
      </c>
      <c r="E20" s="5">
        <f t="shared" si="6"/>
        <v>115.17560950077602</v>
      </c>
      <c r="F20" s="7">
        <f t="shared" si="0"/>
        <v>-5.6487809984479611</v>
      </c>
      <c r="G20" s="7">
        <f t="shared" si="1"/>
        <v>-248.54636393171029</v>
      </c>
      <c r="H20" s="3">
        <f t="shared" si="2"/>
        <v>18.055506605082524</v>
      </c>
      <c r="I20" s="3">
        <f t="shared" si="3"/>
        <v>2.2096911713744927</v>
      </c>
    </row>
    <row r="21" spans="1:9" x14ac:dyDescent="0.2">
      <c r="A21">
        <v>99</v>
      </c>
      <c r="B21">
        <v>228</v>
      </c>
      <c r="C21" s="5">
        <f t="shared" si="4"/>
        <v>18.055506605082524</v>
      </c>
      <c r="D21" s="5">
        <f t="shared" si="5"/>
        <v>2.2096911713744927</v>
      </c>
      <c r="E21" s="5">
        <f t="shared" si="6"/>
        <v>236.8149325711573</v>
      </c>
      <c r="F21" s="7">
        <f t="shared" si="0"/>
        <v>17.6298651423146</v>
      </c>
      <c r="G21" s="7">
        <f t="shared" si="1"/>
        <v>1745.3566490891453</v>
      </c>
      <c r="H21" s="3">
        <f t="shared" si="2"/>
        <v>18.048378439063775</v>
      </c>
      <c r="I21" s="3">
        <f t="shared" si="3"/>
        <v>2.1930891636654231</v>
      </c>
    </row>
    <row r="22" spans="1:9" x14ac:dyDescent="0.2">
      <c r="A22">
        <v>13</v>
      </c>
      <c r="B22">
        <v>56</v>
      </c>
      <c r="C22" s="5">
        <f t="shared" si="4"/>
        <v>18.048378439063775</v>
      </c>
      <c r="D22" s="5">
        <f t="shared" si="5"/>
        <v>2.1930891636654231</v>
      </c>
      <c r="E22" s="5">
        <f t="shared" si="6"/>
        <v>46.558537566714278</v>
      </c>
      <c r="F22" s="7">
        <f t="shared" si="0"/>
        <v>-18.882924866571443</v>
      </c>
      <c r="G22" s="7">
        <f t="shared" si="1"/>
        <v>-245.47802326542876</v>
      </c>
      <c r="H22" s="3">
        <f t="shared" si="2"/>
        <v>18.056013246379766</v>
      </c>
      <c r="I22" s="3">
        <f t="shared" si="3"/>
        <v>2.1954241752728136</v>
      </c>
    </row>
    <row r="23" spans="1:9" x14ac:dyDescent="0.2">
      <c r="A23">
        <v>21</v>
      </c>
      <c r="B23">
        <v>72</v>
      </c>
      <c r="C23" s="5">
        <f t="shared" si="4"/>
        <v>18.056013246379766</v>
      </c>
      <c r="D23" s="5">
        <f t="shared" si="5"/>
        <v>2.1954241752728136</v>
      </c>
      <c r="E23" s="5">
        <f t="shared" si="6"/>
        <v>64.159920927108857</v>
      </c>
      <c r="F23" s="7">
        <f t="shared" si="0"/>
        <v>-15.680158145782286</v>
      </c>
      <c r="G23" s="7">
        <f t="shared" si="1"/>
        <v>-329.28332106142801</v>
      </c>
      <c r="H23" s="3">
        <f t="shared" si="2"/>
        <v>18.06235310034695</v>
      </c>
      <c r="I23" s="3">
        <f t="shared" si="3"/>
        <v>2.1985563512882904</v>
      </c>
    </row>
    <row r="24" spans="1:9" x14ac:dyDescent="0.2">
      <c r="A24">
        <v>28</v>
      </c>
      <c r="B24">
        <v>86</v>
      </c>
      <c r="C24" s="5">
        <f t="shared" si="4"/>
        <v>18.06235310034695</v>
      </c>
      <c r="D24" s="5">
        <f t="shared" si="5"/>
        <v>2.1985563512882904</v>
      </c>
      <c r="E24" s="5">
        <f t="shared" si="6"/>
        <v>79.621930936419076</v>
      </c>
      <c r="F24" s="7">
        <f t="shared" si="0"/>
        <v>-12.756138127161847</v>
      </c>
      <c r="G24" s="7">
        <f t="shared" si="1"/>
        <v>-357.17186756053172</v>
      </c>
      <c r="H24" s="3">
        <f t="shared" si="2"/>
        <v>18.067510704763915</v>
      </c>
      <c r="I24" s="3">
        <f t="shared" si="3"/>
        <v>2.2019538059585422</v>
      </c>
    </row>
    <row r="25" spans="1:9" x14ac:dyDescent="0.2">
      <c r="A25">
        <v>20</v>
      </c>
      <c r="B25">
        <v>70</v>
      </c>
      <c r="C25" s="5">
        <f t="shared" si="4"/>
        <v>18.067510704763915</v>
      </c>
      <c r="D25" s="5">
        <f t="shared" si="5"/>
        <v>2.2019538059585422</v>
      </c>
      <c r="E25" s="5">
        <f t="shared" si="6"/>
        <v>62.106586823934762</v>
      </c>
      <c r="F25" s="7">
        <f t="shared" si="0"/>
        <v>-15.786826352130475</v>
      </c>
      <c r="G25" s="7">
        <f t="shared" si="1"/>
        <v>-315.73652704260951</v>
      </c>
      <c r="H25" s="3">
        <f t="shared" si="2"/>
        <v>18.073893687176927</v>
      </c>
      <c r="I25" s="3">
        <f t="shared" si="3"/>
        <v>2.2049571235089878</v>
      </c>
    </row>
    <row r="26" spans="1:9" x14ac:dyDescent="0.2">
      <c r="A26">
        <v>8</v>
      </c>
      <c r="B26">
        <v>46</v>
      </c>
      <c r="C26" s="5">
        <f t="shared" si="4"/>
        <v>18.073893687176927</v>
      </c>
      <c r="D26" s="5">
        <f t="shared" si="5"/>
        <v>2.2049571235089878</v>
      </c>
      <c r="E26" s="5">
        <f t="shared" si="6"/>
        <v>35.713550675248825</v>
      </c>
      <c r="F26" s="7">
        <f t="shared" si="0"/>
        <v>-20.572898649502349</v>
      </c>
      <c r="G26" s="7">
        <f t="shared" si="1"/>
        <v>-164.58318919601879</v>
      </c>
      <c r="H26" s="3">
        <f t="shared" si="2"/>
        <v>18.082211790343163</v>
      </c>
      <c r="I26" s="3">
        <f t="shared" si="3"/>
        <v>2.2065226553315189</v>
      </c>
    </row>
    <row r="27" spans="1:9" x14ac:dyDescent="0.2">
      <c r="A27">
        <v>64</v>
      </c>
      <c r="B27">
        <v>158</v>
      </c>
      <c r="C27" s="5">
        <f t="shared" si="4"/>
        <v>18.082211790343163</v>
      </c>
      <c r="D27" s="5">
        <f t="shared" si="5"/>
        <v>2.2065226553315189</v>
      </c>
      <c r="E27" s="5">
        <f t="shared" si="6"/>
        <v>159.29966173156038</v>
      </c>
      <c r="F27" s="7">
        <f t="shared" si="0"/>
        <v>2.5993234631207542</v>
      </c>
      <c r="G27" s="7">
        <f t="shared" si="1"/>
        <v>166.35670163972827</v>
      </c>
      <c r="H27" s="3">
        <f t="shared" si="2"/>
        <v>18.081160823189869</v>
      </c>
      <c r="I27" s="3">
        <f t="shared" si="3"/>
        <v>2.2049402536805327</v>
      </c>
    </row>
    <row r="28" spans="1:9" x14ac:dyDescent="0.2">
      <c r="A28">
        <v>99</v>
      </c>
      <c r="B28">
        <v>228</v>
      </c>
      <c r="C28" s="5">
        <f t="shared" si="4"/>
        <v>18.081160823189869</v>
      </c>
      <c r="D28" s="5">
        <f t="shared" si="5"/>
        <v>2.2049402536805327</v>
      </c>
      <c r="E28" s="5">
        <f t="shared" si="6"/>
        <v>236.3702459375626</v>
      </c>
      <c r="F28" s="7">
        <f t="shared" si="0"/>
        <v>16.740491875125201</v>
      </c>
      <c r="G28" s="7">
        <f t="shared" si="1"/>
        <v>1657.308695637395</v>
      </c>
      <c r="H28" s="3">
        <f t="shared" si="2"/>
        <v>18.074392251544076</v>
      </c>
      <c r="I28" s="3">
        <f t="shared" si="3"/>
        <v>2.18917576694618</v>
      </c>
    </row>
    <row r="29" spans="1:9" x14ac:dyDescent="0.2">
      <c r="A29">
        <v>70</v>
      </c>
      <c r="B29">
        <v>170</v>
      </c>
      <c r="C29" s="5">
        <f t="shared" si="4"/>
        <v>18.074392251544076</v>
      </c>
      <c r="D29" s="5">
        <f t="shared" si="5"/>
        <v>2.18917576694618</v>
      </c>
      <c r="E29" s="5">
        <f t="shared" si="6"/>
        <v>171.31669593777667</v>
      </c>
      <c r="F29" s="7">
        <f t="shared" si="0"/>
        <v>2.6333918755533432</v>
      </c>
      <c r="G29" s="7">
        <f t="shared" si="1"/>
        <v>184.33743128873402</v>
      </c>
      <c r="H29" s="3">
        <f t="shared" si="2"/>
        <v>18.073327509736362</v>
      </c>
      <c r="I29" s="3">
        <f t="shared" si="3"/>
        <v>2.1874223307892073</v>
      </c>
    </row>
    <row r="30" spans="1:9" x14ac:dyDescent="0.2">
      <c r="A30">
        <v>27</v>
      </c>
      <c r="B30">
        <v>84</v>
      </c>
      <c r="C30" s="5">
        <f t="shared" si="4"/>
        <v>18.073327509736362</v>
      </c>
      <c r="D30" s="5">
        <f t="shared" si="5"/>
        <v>2.1874223307892073</v>
      </c>
      <c r="E30" s="5">
        <f t="shared" si="6"/>
        <v>77.13373044104496</v>
      </c>
      <c r="F30" s="7">
        <f t="shared" si="0"/>
        <v>-13.732539117910079</v>
      </c>
      <c r="G30" s="7">
        <f t="shared" si="1"/>
        <v>-370.77855618357216</v>
      </c>
      <c r="H30" s="3">
        <f t="shared" si="2"/>
        <v>18.078879895866447</v>
      </c>
      <c r="I30" s="3">
        <f t="shared" si="3"/>
        <v>2.19094921364798</v>
      </c>
    </row>
    <row r="31" spans="1:9" x14ac:dyDescent="0.2">
      <c r="A31">
        <v>17</v>
      </c>
      <c r="B31">
        <v>64</v>
      </c>
      <c r="C31" s="5">
        <f t="shared" si="4"/>
        <v>18.078879895866447</v>
      </c>
      <c r="D31" s="5">
        <f t="shared" si="5"/>
        <v>2.19094921364798</v>
      </c>
      <c r="E31" s="5">
        <f t="shared" si="6"/>
        <v>55.325016527882113</v>
      </c>
      <c r="F31" s="7">
        <f t="shared" si="0"/>
        <v>-17.349966944235774</v>
      </c>
      <c r="G31" s="7">
        <f t="shared" si="1"/>
        <v>-294.94943805200819</v>
      </c>
      <c r="H31" s="3">
        <f t="shared" si="2"/>
        <v>18.085894892509927</v>
      </c>
      <c r="I31" s="3">
        <f t="shared" si="3"/>
        <v>2.1937548023205764</v>
      </c>
    </row>
    <row r="32" spans="1:9" x14ac:dyDescent="0.2">
      <c r="A32">
        <v>8</v>
      </c>
      <c r="B32">
        <v>46</v>
      </c>
      <c r="C32" s="5">
        <f t="shared" si="4"/>
        <v>18.085894892509927</v>
      </c>
      <c r="D32" s="5">
        <f t="shared" si="5"/>
        <v>2.1937548023205764</v>
      </c>
      <c r="E32" s="5">
        <f t="shared" si="6"/>
        <v>35.635933311074538</v>
      </c>
      <c r="F32" s="7">
        <f t="shared" si="0"/>
        <v>-20.728133377850924</v>
      </c>
      <c r="G32" s="7">
        <f t="shared" si="1"/>
        <v>-165.82506702280739</v>
      </c>
      <c r="H32" s="3">
        <f t="shared" si="2"/>
        <v>18.094275760700548</v>
      </c>
      <c r="I32" s="3">
        <f t="shared" si="3"/>
        <v>2.1953321470097014</v>
      </c>
    </row>
    <row r="33" spans="1:11" x14ac:dyDescent="0.2">
      <c r="A33" s="7"/>
      <c r="B33" s="7"/>
      <c r="F33" s="7">
        <f>SQRT(SUMSQ(F4:F32))/COUNT(F4:F32)</f>
        <v>2.456398037348726</v>
      </c>
      <c r="G33" s="7">
        <f>SQRT(SUMSQ(G4:G32))/COUNT(G4:G32)</f>
        <v>104.43189102250149</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30.026720188964191</v>
      </c>
      <c r="D1" s="5" t="s">
        <v>14</v>
      </c>
      <c r="J1">
        <v>0.9</v>
      </c>
      <c r="K1">
        <f>1-J1</f>
        <v>9.9999999999999978E-2</v>
      </c>
    </row>
    <row r="2" spans="1:11" x14ac:dyDescent="0.2">
      <c r="B2" t="s">
        <v>22</v>
      </c>
      <c r="C2" s="5">
        <v>2.0059135365395013</v>
      </c>
      <c r="D2">
        <v>0.02</v>
      </c>
      <c r="F2" s="9"/>
      <c r="G2" s="9"/>
    </row>
    <row r="3" spans="1:11" s="2" customFormat="1" x14ac:dyDescent="0.2">
      <c r="A3" s="2" t="s">
        <v>15</v>
      </c>
      <c r="B3" s="2" t="s">
        <v>16</v>
      </c>
      <c r="C3" s="6" t="s">
        <v>21</v>
      </c>
      <c r="D3" s="6" t="s">
        <v>22</v>
      </c>
      <c r="E3" s="6" t="s">
        <v>18</v>
      </c>
      <c r="F3" s="8" t="s">
        <v>6</v>
      </c>
      <c r="G3" s="8" t="s">
        <v>9</v>
      </c>
      <c r="H3" s="2" t="s">
        <v>13</v>
      </c>
      <c r="I3" s="2" t="s">
        <v>12</v>
      </c>
      <c r="J3">
        <f>J33</f>
        <v>0.63094402000661909</v>
      </c>
      <c r="K3">
        <f>K33</f>
        <v>2010.4775499600155</v>
      </c>
    </row>
    <row r="4" spans="1:11" x14ac:dyDescent="0.2">
      <c r="A4">
        <v>14</v>
      </c>
      <c r="B4">
        <v>58</v>
      </c>
      <c r="C4" s="5">
        <f>C1</f>
        <v>30.026720188964191</v>
      </c>
      <c r="D4" s="5">
        <f>C2</f>
        <v>2.0059135365395013</v>
      </c>
      <c r="E4" s="5">
        <f>C4+D4*A4</f>
        <v>58.109509700517208</v>
      </c>
      <c r="F4" s="7">
        <f t="shared" ref="F4:F32" si="0">2*(D4*A4+C4-B4)</f>
        <v>0.21901940103441575</v>
      </c>
      <c r="G4" s="7">
        <f t="shared" ref="G4:G32" si="1">F4*A4</f>
        <v>3.0662716144818205</v>
      </c>
      <c r="H4" s="3">
        <f t="shared" ref="H4:H32" si="2">C4-F4*$D$2/SQRT(J3)</f>
        <v>30.021205548942401</v>
      </c>
      <c r="I4" s="3">
        <f t="shared" ref="I4:I32" si="3">D4-G4*$D$2/SQRT(K3)</f>
        <v>2.0045458360438011</v>
      </c>
      <c r="J4">
        <f t="shared" ref="J4:J32" si="4">J3*$J$1+$K$1*F4^2</f>
        <v>0.57264656780890466</v>
      </c>
      <c r="K4">
        <f t="shared" ref="K4:K32" si="5">K3*$J$1+$K$1*G4^2</f>
        <v>1810.3699971253918</v>
      </c>
    </row>
    <row r="5" spans="1:11" x14ac:dyDescent="0.2">
      <c r="A5">
        <v>86</v>
      </c>
      <c r="B5">
        <v>202</v>
      </c>
      <c r="C5" s="5">
        <f>H4</f>
        <v>30.021205548942401</v>
      </c>
      <c r="D5" s="5">
        <f>I4</f>
        <v>2.0045458360438011</v>
      </c>
      <c r="E5" s="5">
        <f>C5+D5*A5</f>
        <v>202.41214744870928</v>
      </c>
      <c r="F5" s="7">
        <f t="shared" si="0"/>
        <v>0.82429489741855377</v>
      </c>
      <c r="G5" s="7">
        <f t="shared" si="1"/>
        <v>70.889361177995625</v>
      </c>
      <c r="H5" s="3">
        <f t="shared" si="2"/>
        <v>29.999419961448737</v>
      </c>
      <c r="I5" s="3">
        <f t="shared" si="3"/>
        <v>1.9712241178939571</v>
      </c>
      <c r="J5">
        <f t="shared" si="4"/>
        <v>0.58332811881904068</v>
      </c>
      <c r="K5">
        <f t="shared" si="5"/>
        <v>2131.8631502352837</v>
      </c>
    </row>
    <row r="6" spans="1:11" x14ac:dyDescent="0.2">
      <c r="A6">
        <v>28</v>
      </c>
      <c r="B6">
        <v>86</v>
      </c>
      <c r="C6" s="5">
        <f>H5</f>
        <v>29.999419961448737</v>
      </c>
      <c r="D6" s="5">
        <f>I5</f>
        <v>1.9712241178939571</v>
      </c>
      <c r="E6" s="5">
        <f>C6+D6*A6</f>
        <v>85.193695262479537</v>
      </c>
      <c r="F6" s="7">
        <f t="shared" si="0"/>
        <v>-1.6126094750409266</v>
      </c>
      <c r="G6" s="7">
        <f t="shared" si="1"/>
        <v>-45.153065301145944</v>
      </c>
      <c r="H6" s="3">
        <f t="shared" si="2"/>
        <v>30.041648178681871</v>
      </c>
      <c r="I6" s="3">
        <f t="shared" si="3"/>
        <v>1.9907827092454877</v>
      </c>
      <c r="J6">
        <f>J5*$J$1+$K$1*F6^2</f>
        <v>0.78504623883631375</v>
      </c>
      <c r="K6">
        <f>K5*$J$1+$K$1*G6^2</f>
        <v>2122.5567658207101</v>
      </c>
    </row>
    <row r="7" spans="1:11" x14ac:dyDescent="0.2">
      <c r="A7">
        <v>51</v>
      </c>
      <c r="B7">
        <v>132</v>
      </c>
      <c r="C7" s="5">
        <f t="shared" ref="C7:D32" si="6">H6</f>
        <v>30.041648178681871</v>
      </c>
      <c r="D7" s="5">
        <f t="shared" si="6"/>
        <v>1.9907827092454877</v>
      </c>
      <c r="E7" s="5">
        <f t="shared" ref="E7:E32" si="7">C7+D7*A7</f>
        <v>131.57156635020175</v>
      </c>
      <c r="F7" s="7">
        <f t="shared" si="0"/>
        <v>-0.85686729959650165</v>
      </c>
      <c r="G7" s="7">
        <f t="shared" si="1"/>
        <v>-43.700232279421584</v>
      </c>
      <c r="H7" s="3">
        <f t="shared" si="2"/>
        <v>30.06098993673276</v>
      </c>
      <c r="I7" s="3">
        <f t="shared" si="3"/>
        <v>2.0097534410406919</v>
      </c>
      <c r="J7">
        <f t="shared" si="4"/>
        <v>0.77996377186446253</v>
      </c>
      <c r="K7">
        <f t="shared" si="5"/>
        <v>2101.2721193661791</v>
      </c>
    </row>
    <row r="8" spans="1:11" x14ac:dyDescent="0.2">
      <c r="A8">
        <v>28</v>
      </c>
      <c r="B8">
        <v>86</v>
      </c>
      <c r="C8" s="5">
        <f t="shared" si="6"/>
        <v>30.06098993673276</v>
      </c>
      <c r="D8" s="5">
        <f t="shared" si="6"/>
        <v>2.0097534410406919</v>
      </c>
      <c r="E8" s="5">
        <f t="shared" si="7"/>
        <v>86.334086285872132</v>
      </c>
      <c r="F8" s="7">
        <f>2*(D8*A8+C8-B8)</f>
        <v>0.66817257174426459</v>
      </c>
      <c r="G8" s="7">
        <f t="shared" si="1"/>
        <v>18.708832008839408</v>
      </c>
      <c r="H8" s="3">
        <f t="shared" si="2"/>
        <v>30.045858456171199</v>
      </c>
      <c r="I8" s="3">
        <f t="shared" si="3"/>
        <v>2.0015907093404746</v>
      </c>
      <c r="J8">
        <f t="shared" si="4"/>
        <v>0.74661285324115068</v>
      </c>
      <c r="K8">
        <f t="shared" si="5"/>
        <v>1926.1469469430588</v>
      </c>
    </row>
    <row r="9" spans="1:11" x14ac:dyDescent="0.2">
      <c r="A9">
        <v>29</v>
      </c>
      <c r="B9">
        <v>88</v>
      </c>
      <c r="C9" s="5">
        <f t="shared" si="6"/>
        <v>30.045858456171199</v>
      </c>
      <c r="D9" s="5">
        <f t="shared" si="6"/>
        <v>2.0015907093404746</v>
      </c>
      <c r="E9" s="5">
        <f t="shared" si="7"/>
        <v>88.09198902704496</v>
      </c>
      <c r="F9" s="7">
        <f t="shared" si="0"/>
        <v>0.18397805408991985</v>
      </c>
      <c r="G9" s="7">
        <f t="shared" si="1"/>
        <v>5.3353635686076757</v>
      </c>
      <c r="H9" s="3">
        <f t="shared" si="2"/>
        <v>30.0416000382032</v>
      </c>
      <c r="I9" s="3">
        <f t="shared" si="3"/>
        <v>1.9991593491233961</v>
      </c>
      <c r="J9">
        <f t="shared" si="4"/>
        <v>0.67533636035570699</v>
      </c>
      <c r="K9">
        <f t="shared" si="5"/>
        <v>1736.3788626896755</v>
      </c>
    </row>
    <row r="10" spans="1:11" x14ac:dyDescent="0.2">
      <c r="A10">
        <v>72</v>
      </c>
      <c r="B10">
        <v>174</v>
      </c>
      <c r="C10" s="5">
        <f t="shared" si="6"/>
        <v>30.0416000382032</v>
      </c>
      <c r="D10" s="5">
        <f t="shared" si="6"/>
        <v>1.9991593491233961</v>
      </c>
      <c r="E10" s="5">
        <f t="shared" si="7"/>
        <v>173.98107317508772</v>
      </c>
      <c r="F10" s="7">
        <f t="shared" si="0"/>
        <v>-3.7853649824569402E-2</v>
      </c>
      <c r="G10" s="7">
        <f t="shared" si="1"/>
        <v>-2.7254627873689969</v>
      </c>
      <c r="H10" s="3">
        <f t="shared" si="2"/>
        <v>30.042521288603236</v>
      </c>
      <c r="I10" s="3">
        <f t="shared" si="3"/>
        <v>2.0004674703927803</v>
      </c>
      <c r="J10">
        <f t="shared" si="4"/>
        <v>0.60794601420064043</v>
      </c>
      <c r="K10">
        <f t="shared" si="5"/>
        <v>1563.4837911612412</v>
      </c>
    </row>
    <row r="11" spans="1:11" x14ac:dyDescent="0.2">
      <c r="A11">
        <v>62</v>
      </c>
      <c r="B11">
        <v>154</v>
      </c>
      <c r="C11" s="5">
        <f t="shared" si="6"/>
        <v>30.042521288603236</v>
      </c>
      <c r="D11" s="5">
        <f t="shared" si="6"/>
        <v>2.0004674703927803</v>
      </c>
      <c r="E11" s="5">
        <f t="shared" si="7"/>
        <v>154.07150445295562</v>
      </c>
      <c r="F11" s="7">
        <f t="shared" si="0"/>
        <v>0.14300890591124471</v>
      </c>
      <c r="G11" s="7">
        <f t="shared" si="1"/>
        <v>8.866552166497172</v>
      </c>
      <c r="H11" s="3">
        <f t="shared" si="2"/>
        <v>30.038853024702075</v>
      </c>
      <c r="I11" s="3">
        <f t="shared" si="3"/>
        <v>1.9959827220542496</v>
      </c>
      <c r="J11">
        <f t="shared" si="4"/>
        <v>0.54919656749756951</v>
      </c>
      <c r="K11">
        <f t="shared" si="5"/>
        <v>1414.9969867772388</v>
      </c>
    </row>
    <row r="12" spans="1:11" x14ac:dyDescent="0.2">
      <c r="A12">
        <v>84</v>
      </c>
      <c r="B12">
        <v>198</v>
      </c>
      <c r="C12" s="5">
        <f t="shared" si="6"/>
        <v>30.038853024702075</v>
      </c>
      <c r="D12" s="5">
        <f t="shared" si="6"/>
        <v>1.9959827220542496</v>
      </c>
      <c r="E12" s="5">
        <f t="shared" si="7"/>
        <v>197.70140167725904</v>
      </c>
      <c r="F12" s="7">
        <f t="shared" si="0"/>
        <v>-0.59719664548191531</v>
      </c>
      <c r="G12" s="7">
        <f t="shared" si="1"/>
        <v>-50.164518220480886</v>
      </c>
      <c r="H12" s="3">
        <f t="shared" si="2"/>
        <v>30.054969996580514</v>
      </c>
      <c r="I12" s="3">
        <f t="shared" si="3"/>
        <v>2.022654310660092</v>
      </c>
      <c r="J12">
        <f t="shared" si="4"/>
        <v>0.52994129408529778</v>
      </c>
      <c r="K12">
        <f t="shared" si="5"/>
        <v>1525.1451769288108</v>
      </c>
    </row>
    <row r="13" spans="1:11" x14ac:dyDescent="0.2">
      <c r="A13">
        <v>15</v>
      </c>
      <c r="B13">
        <v>60</v>
      </c>
      <c r="C13" s="5">
        <f t="shared" si="6"/>
        <v>30.054969996580514</v>
      </c>
      <c r="D13" s="5">
        <f t="shared" si="6"/>
        <v>2.022654310660092</v>
      </c>
      <c r="E13" s="5">
        <f t="shared" si="7"/>
        <v>60.394784656481896</v>
      </c>
      <c r="F13" s="7">
        <f t="shared" si="0"/>
        <v>0.78956931296379196</v>
      </c>
      <c r="G13" s="7">
        <f t="shared" si="1"/>
        <v>11.843539694456879</v>
      </c>
      <c r="H13" s="3">
        <f t="shared" si="2"/>
        <v>30.033277657940733</v>
      </c>
      <c r="I13" s="3">
        <f t="shared" si="3"/>
        <v>2.0165889598784523</v>
      </c>
      <c r="J13">
        <f t="shared" si="4"/>
        <v>0.53928913467417949</v>
      </c>
      <c r="K13">
        <f t="shared" si="5"/>
        <v>1386.6576024853473</v>
      </c>
    </row>
    <row r="14" spans="1:11" x14ac:dyDescent="0.2">
      <c r="A14">
        <v>42</v>
      </c>
      <c r="B14">
        <v>114</v>
      </c>
      <c r="C14" s="5">
        <f t="shared" si="6"/>
        <v>30.033277657940733</v>
      </c>
      <c r="D14" s="5">
        <f t="shared" si="6"/>
        <v>2.0165889598784523</v>
      </c>
      <c r="E14" s="5">
        <f t="shared" si="7"/>
        <v>114.73001397283572</v>
      </c>
      <c r="F14" s="7">
        <f t="shared" si="0"/>
        <v>1.4600279456714418</v>
      </c>
      <c r="G14" s="7">
        <f t="shared" si="1"/>
        <v>61.321173718200555</v>
      </c>
      <c r="H14" s="3">
        <f t="shared" si="2"/>
        <v>29.993514549376869</v>
      </c>
      <c r="I14" s="3">
        <f t="shared" si="3"/>
        <v>1.9836540987912605</v>
      </c>
      <c r="J14">
        <f t="shared" si="4"/>
        <v>0.69852838142091855</v>
      </c>
      <c r="K14">
        <f t="shared" si="5"/>
        <v>1624.0204768545855</v>
      </c>
    </row>
    <row r="15" spans="1:11" x14ac:dyDescent="0.2">
      <c r="A15">
        <v>62</v>
      </c>
      <c r="B15">
        <v>154</v>
      </c>
      <c r="C15" s="5">
        <f t="shared" si="6"/>
        <v>29.993514549376869</v>
      </c>
      <c r="D15" s="5">
        <f>I14</f>
        <v>1.9836540987912605</v>
      </c>
      <c r="E15" s="5">
        <f t="shared" si="7"/>
        <v>152.98006867443502</v>
      </c>
      <c r="F15" s="7">
        <f t="shared" si="0"/>
        <v>-2.0398626511299653</v>
      </c>
      <c r="G15" s="7">
        <f t="shared" si="1"/>
        <v>-126.47148437005785</v>
      </c>
      <c r="H15" s="3">
        <f t="shared" si="2"/>
        <v>30.042327930852846</v>
      </c>
      <c r="I15" s="3">
        <f t="shared" si="3"/>
        <v>2.0464204468893277</v>
      </c>
      <c r="J15">
        <f t="shared" si="4"/>
        <v>1.0447795068263237</v>
      </c>
      <c r="K15">
        <f t="shared" si="5"/>
        <v>3061.1220650457053</v>
      </c>
    </row>
    <row r="16" spans="1:11" x14ac:dyDescent="0.2">
      <c r="A16">
        <v>47</v>
      </c>
      <c r="B16">
        <v>124</v>
      </c>
      <c r="C16" s="5">
        <f t="shared" si="6"/>
        <v>30.042327930852846</v>
      </c>
      <c r="D16" s="5">
        <f t="shared" si="6"/>
        <v>2.0464204468893277</v>
      </c>
      <c r="E16" s="5">
        <f t="shared" si="7"/>
        <v>126.22408893465125</v>
      </c>
      <c r="F16" s="7">
        <f t="shared" si="0"/>
        <v>4.4481778693024978</v>
      </c>
      <c r="G16" s="7">
        <f t="shared" si="1"/>
        <v>209.0643598572174</v>
      </c>
      <c r="H16" s="3">
        <f t="shared" si="2"/>
        <v>29.955291751585911</v>
      </c>
      <c r="I16" s="3">
        <f t="shared" si="3"/>
        <v>1.9708469227396925</v>
      </c>
      <c r="J16">
        <f t="shared" si="4"/>
        <v>2.9189301918389416</v>
      </c>
      <c r="K16">
        <f t="shared" si="5"/>
        <v>7125.800514791943</v>
      </c>
    </row>
    <row r="17" spans="1:11" x14ac:dyDescent="0.2">
      <c r="A17">
        <v>35</v>
      </c>
      <c r="B17">
        <v>100</v>
      </c>
      <c r="C17" s="5">
        <f t="shared" si="6"/>
        <v>29.955291751585911</v>
      </c>
      <c r="D17" s="5">
        <f t="shared" si="6"/>
        <v>1.9708469227396925</v>
      </c>
      <c r="E17" s="5">
        <f t="shared" si="7"/>
        <v>98.934934047475139</v>
      </c>
      <c r="F17" s="7">
        <f t="shared" si="0"/>
        <v>-2.1301319050497227</v>
      </c>
      <c r="G17" s="7">
        <f t="shared" si="1"/>
        <v>-74.554616676740295</v>
      </c>
      <c r="H17" s="3">
        <f t="shared" si="2"/>
        <v>29.980227628100664</v>
      </c>
      <c r="I17" s="3">
        <f t="shared" si="3"/>
        <v>1.9885108678774523</v>
      </c>
      <c r="J17">
        <f t="shared" si="4"/>
        <v>3.0807833659461235</v>
      </c>
      <c r="K17">
        <f t="shared" si="5"/>
        <v>6969.0595500943164</v>
      </c>
    </row>
    <row r="18" spans="1:11" x14ac:dyDescent="0.2">
      <c r="A18">
        <v>9</v>
      </c>
      <c r="B18">
        <v>48</v>
      </c>
      <c r="C18" s="5">
        <f t="shared" si="6"/>
        <v>29.980227628100664</v>
      </c>
      <c r="D18" s="5">
        <f t="shared" si="6"/>
        <v>1.9885108678774523</v>
      </c>
      <c r="E18" s="5">
        <f t="shared" si="7"/>
        <v>47.876825438997734</v>
      </c>
      <c r="F18" s="7">
        <f t="shared" si="0"/>
        <v>-0.2463491220045313</v>
      </c>
      <c r="G18" s="7">
        <f t="shared" si="1"/>
        <v>-2.2171420980407817</v>
      </c>
      <c r="H18" s="3">
        <f t="shared" si="2"/>
        <v>29.983034679946545</v>
      </c>
      <c r="I18" s="3">
        <f t="shared" si="3"/>
        <v>1.9890420414214269</v>
      </c>
      <c r="J18">
        <f t="shared" si="4"/>
        <v>2.7787738183427515</v>
      </c>
      <c r="K18">
        <f t="shared" si="5"/>
        <v>6272.6451669931748</v>
      </c>
    </row>
    <row r="19" spans="1:11" x14ac:dyDescent="0.2">
      <c r="A19">
        <v>38</v>
      </c>
      <c r="B19">
        <v>106</v>
      </c>
      <c r="C19" s="5">
        <f t="shared" si="6"/>
        <v>29.983034679946545</v>
      </c>
      <c r="D19" s="5">
        <f t="shared" si="6"/>
        <v>1.9890420414214269</v>
      </c>
      <c r="E19" s="5">
        <f t="shared" si="7"/>
        <v>105.56663225396076</v>
      </c>
      <c r="F19" s="7">
        <f t="shared" si="0"/>
        <v>-0.866735492078476</v>
      </c>
      <c r="G19" s="7">
        <f t="shared" si="1"/>
        <v>-32.935948698982088</v>
      </c>
      <c r="H19" s="3">
        <f t="shared" si="2"/>
        <v>29.993433641616811</v>
      </c>
      <c r="I19" s="3">
        <f t="shared" si="3"/>
        <v>1.9973591967582309</v>
      </c>
      <c r="J19">
        <f t="shared" si="4"/>
        <v>2.5760194778313283</v>
      </c>
      <c r="K19">
        <f t="shared" si="5"/>
        <v>5753.8583219640559</v>
      </c>
    </row>
    <row r="20" spans="1:11" x14ac:dyDescent="0.2">
      <c r="A20">
        <v>44</v>
      </c>
      <c r="B20">
        <v>118</v>
      </c>
      <c r="C20" s="5">
        <f t="shared" si="6"/>
        <v>29.993433641616811</v>
      </c>
      <c r="D20" s="5">
        <f t="shared" si="6"/>
        <v>1.9973591967582309</v>
      </c>
      <c r="E20" s="5">
        <f t="shared" si="7"/>
        <v>117.87723829897897</v>
      </c>
      <c r="F20" s="7">
        <f t="shared" si="0"/>
        <v>-0.24552340204206757</v>
      </c>
      <c r="G20" s="7">
        <f t="shared" si="1"/>
        <v>-10.803029689850973</v>
      </c>
      <c r="H20" s="3">
        <f t="shared" si="2"/>
        <v>29.996493126541473</v>
      </c>
      <c r="I20" s="3">
        <f t="shared" si="3"/>
        <v>2.0002075640058545</v>
      </c>
      <c r="J20">
        <f t="shared" si="4"/>
        <v>2.3244457041432267</v>
      </c>
      <c r="K20">
        <f t="shared" si="5"/>
        <v>5190.1430348156309</v>
      </c>
    </row>
    <row r="21" spans="1:11" x14ac:dyDescent="0.2">
      <c r="A21">
        <v>99</v>
      </c>
      <c r="B21">
        <v>228</v>
      </c>
      <c r="C21" s="5">
        <f t="shared" si="6"/>
        <v>29.996493126541473</v>
      </c>
      <c r="D21" s="5">
        <f t="shared" si="6"/>
        <v>2.0002075640058545</v>
      </c>
      <c r="E21" s="5">
        <f t="shared" si="7"/>
        <v>228.01704196312107</v>
      </c>
      <c r="F21" s="7">
        <f t="shared" si="0"/>
        <v>3.4083926242146845E-2</v>
      </c>
      <c r="G21" s="7">
        <f t="shared" si="1"/>
        <v>3.3743086979725376</v>
      </c>
      <c r="H21" s="3">
        <f t="shared" si="2"/>
        <v>29.996046010852289</v>
      </c>
      <c r="I21" s="3">
        <f t="shared" si="3"/>
        <v>1.9992708108956161</v>
      </c>
      <c r="J21">
        <f t="shared" si="4"/>
        <v>2.0921173051317123</v>
      </c>
      <c r="K21">
        <f t="shared" si="5"/>
        <v>4672.2673272529892</v>
      </c>
    </row>
    <row r="22" spans="1:11" x14ac:dyDescent="0.2">
      <c r="A22">
        <v>13</v>
      </c>
      <c r="B22">
        <v>56</v>
      </c>
      <c r="C22" s="5">
        <f t="shared" si="6"/>
        <v>29.996046010852289</v>
      </c>
      <c r="D22" s="5">
        <f t="shared" si="6"/>
        <v>1.9992708108956161</v>
      </c>
      <c r="E22" s="5">
        <f t="shared" si="7"/>
        <v>55.986566552495297</v>
      </c>
      <c r="F22" s="7">
        <f t="shared" si="0"/>
        <v>-2.6866895009405312E-2</v>
      </c>
      <c r="G22" s="7">
        <f t="shared" si="1"/>
        <v>-0.34926963512226905</v>
      </c>
      <c r="H22" s="3">
        <f t="shared" si="2"/>
        <v>29.996417507122597</v>
      </c>
      <c r="I22" s="3">
        <f t="shared" si="3"/>
        <v>1.9993730052688659</v>
      </c>
      <c r="J22">
        <f t="shared" si="4"/>
        <v>1.8829777576232858</v>
      </c>
      <c r="K22">
        <f t="shared" si="5"/>
        <v>4205.052793455493</v>
      </c>
    </row>
    <row r="23" spans="1:11" x14ac:dyDescent="0.2">
      <c r="A23">
        <v>21</v>
      </c>
      <c r="B23">
        <v>72</v>
      </c>
      <c r="C23" s="5">
        <f t="shared" si="6"/>
        <v>29.996417507122597</v>
      </c>
      <c r="D23" s="5">
        <f t="shared" si="6"/>
        <v>1.9993730052688659</v>
      </c>
      <c r="E23" s="5">
        <f t="shared" si="7"/>
        <v>71.983250617768775</v>
      </c>
      <c r="F23" s="7">
        <f t="shared" si="0"/>
        <v>-3.3498764462450481E-2</v>
      </c>
      <c r="G23" s="7">
        <f t="shared" si="1"/>
        <v>-0.7034740537114601</v>
      </c>
      <c r="H23" s="3">
        <f t="shared" si="2"/>
        <v>29.99690575030742</v>
      </c>
      <c r="I23" s="3">
        <f t="shared" si="3"/>
        <v>1.9995899716040455</v>
      </c>
      <c r="J23">
        <f t="shared" si="4"/>
        <v>1.6947921985830083</v>
      </c>
      <c r="K23">
        <f t="shared" si="5"/>
        <v>3784.597001684368</v>
      </c>
    </row>
    <row r="24" spans="1:11" x14ac:dyDescent="0.2">
      <c r="A24">
        <v>28</v>
      </c>
      <c r="B24">
        <v>86</v>
      </c>
      <c r="C24" s="5">
        <f t="shared" si="6"/>
        <v>29.99690575030742</v>
      </c>
      <c r="D24" s="5">
        <f t="shared" si="6"/>
        <v>1.9995899716040455</v>
      </c>
      <c r="E24" s="5">
        <f t="shared" si="7"/>
        <v>85.985424955220694</v>
      </c>
      <c r="F24" s="7">
        <f t="shared" si="0"/>
        <v>-2.9150089558612535E-2</v>
      </c>
      <c r="G24" s="7">
        <f t="shared" si="1"/>
        <v>-0.81620250764115099</v>
      </c>
      <c r="H24" s="3">
        <f t="shared" si="2"/>
        <v>29.997353578737449</v>
      </c>
      <c r="I24" s="3">
        <f t="shared" si="3"/>
        <v>1.9998553209979124</v>
      </c>
      <c r="J24">
        <f t="shared" si="4"/>
        <v>1.525397951496835</v>
      </c>
      <c r="K24">
        <f t="shared" si="5"/>
        <v>3406.2039201692792</v>
      </c>
    </row>
    <row r="25" spans="1:11" x14ac:dyDescent="0.2">
      <c r="A25">
        <v>20</v>
      </c>
      <c r="B25">
        <v>70</v>
      </c>
      <c r="C25" s="5">
        <f t="shared" si="6"/>
        <v>29.997353578737449</v>
      </c>
      <c r="D25" s="5">
        <f t="shared" si="6"/>
        <v>1.9998553209979124</v>
      </c>
      <c r="E25" s="5">
        <f t="shared" si="7"/>
        <v>69.994459998695703</v>
      </c>
      <c r="F25" s="7">
        <f t="shared" si="0"/>
        <v>-1.1080002608593986E-2</v>
      </c>
      <c r="G25" s="7">
        <f t="shared" si="1"/>
        <v>-0.22160005217187972</v>
      </c>
      <c r="H25" s="3">
        <f t="shared" si="2"/>
        <v>29.997533001805607</v>
      </c>
      <c r="I25" s="3">
        <f t="shared" si="3"/>
        <v>1.9999312599380943</v>
      </c>
      <c r="J25">
        <f t="shared" si="4"/>
        <v>1.3728704329929322</v>
      </c>
      <c r="K25">
        <f t="shared" si="5"/>
        <v>3065.5884388106638</v>
      </c>
    </row>
    <row r="26" spans="1:11" x14ac:dyDescent="0.2">
      <c r="A26">
        <v>8</v>
      </c>
      <c r="B26">
        <v>46</v>
      </c>
      <c r="C26" s="5">
        <f t="shared" si="6"/>
        <v>29.997533001805607</v>
      </c>
      <c r="D26" s="5">
        <f t="shared" si="6"/>
        <v>1.9999312599380943</v>
      </c>
      <c r="E26" s="5">
        <f t="shared" si="7"/>
        <v>45.996983081310361</v>
      </c>
      <c r="F26" s="7">
        <f t="shared" si="0"/>
        <v>-6.0338373792774291E-3</v>
      </c>
      <c r="G26" s="7">
        <f t="shared" si="1"/>
        <v>-4.8270699034219433E-2</v>
      </c>
      <c r="H26" s="3">
        <f t="shared" si="2"/>
        <v>29.997635995069391</v>
      </c>
      <c r="I26" s="3">
        <f t="shared" si="3"/>
        <v>1.9999486963314941</v>
      </c>
      <c r="J26">
        <f t="shared" si="4"/>
        <v>1.235587030412991</v>
      </c>
      <c r="K26">
        <f t="shared" si="5"/>
        <v>2759.0298279356357</v>
      </c>
    </row>
    <row r="27" spans="1:11" x14ac:dyDescent="0.2">
      <c r="A27">
        <v>64</v>
      </c>
      <c r="B27">
        <v>158</v>
      </c>
      <c r="C27" s="5">
        <f t="shared" si="6"/>
        <v>29.997635995069391</v>
      </c>
      <c r="D27" s="5">
        <f t="shared" si="6"/>
        <v>1.9999486963314941</v>
      </c>
      <c r="E27" s="5">
        <f t="shared" si="7"/>
        <v>157.99435256028502</v>
      </c>
      <c r="F27" s="7">
        <f t="shared" si="0"/>
        <v>-1.1294879429954108E-2</v>
      </c>
      <c r="G27" s="7">
        <f t="shared" si="1"/>
        <v>-0.7228722835170629</v>
      </c>
      <c r="H27" s="3">
        <f t="shared" si="2"/>
        <v>29.997839219036287</v>
      </c>
      <c r="I27" s="3">
        <f t="shared" si="3"/>
        <v>2.0002239374861706</v>
      </c>
      <c r="J27">
        <f t="shared" si="4"/>
        <v>1.1120410848018256</v>
      </c>
      <c r="K27">
        <f t="shared" si="5"/>
        <v>2483.1790995759002</v>
      </c>
    </row>
    <row r="28" spans="1:11" x14ac:dyDescent="0.2">
      <c r="A28">
        <v>99</v>
      </c>
      <c r="B28">
        <v>228</v>
      </c>
      <c r="C28" s="5">
        <f t="shared" si="6"/>
        <v>29.997839219036287</v>
      </c>
      <c r="D28" s="5">
        <f t="shared" si="6"/>
        <v>2.0002239374861706</v>
      </c>
      <c r="E28" s="5">
        <f t="shared" si="7"/>
        <v>228.02000903016716</v>
      </c>
      <c r="F28" s="7">
        <f t="shared" si="0"/>
        <v>4.0018060334318761E-2</v>
      </c>
      <c r="G28" s="7">
        <f t="shared" si="1"/>
        <v>3.9617879730975574</v>
      </c>
      <c r="H28" s="3">
        <f t="shared" si="2"/>
        <v>29.997080247281357</v>
      </c>
      <c r="I28" s="3">
        <f t="shared" si="3"/>
        <v>1.9986338639748993</v>
      </c>
      <c r="J28">
        <f t="shared" si="4"/>
        <v>1.0009971208369353</v>
      </c>
      <c r="K28">
        <f t="shared" si="5"/>
        <v>2236.4307660126883</v>
      </c>
    </row>
    <row r="29" spans="1:11" x14ac:dyDescent="0.2">
      <c r="A29">
        <v>70</v>
      </c>
      <c r="B29">
        <v>170</v>
      </c>
      <c r="C29" s="5">
        <f t="shared" si="6"/>
        <v>29.997080247281357</v>
      </c>
      <c r="D29" s="5">
        <f t="shared" si="6"/>
        <v>1.9986338639748993</v>
      </c>
      <c r="E29" s="5">
        <f t="shared" si="7"/>
        <v>169.90145072552431</v>
      </c>
      <c r="F29" s="7">
        <f t="shared" si="0"/>
        <v>-0.19709854895137369</v>
      </c>
      <c r="G29" s="7">
        <f t="shared" si="1"/>
        <v>-13.796898426596158</v>
      </c>
      <c r="H29" s="3">
        <f t="shared" si="2"/>
        <v>30.001020254418201</v>
      </c>
      <c r="I29" s="3">
        <f t="shared" si="3"/>
        <v>2.0044687682234814</v>
      </c>
      <c r="J29">
        <f t="shared" si="4"/>
        <v>0.90478219255311543</v>
      </c>
      <c r="K29">
        <f t="shared" si="5"/>
        <v>2031.8231300308007</v>
      </c>
    </row>
    <row r="30" spans="1:11" x14ac:dyDescent="0.2">
      <c r="A30">
        <v>27</v>
      </c>
      <c r="B30">
        <v>84</v>
      </c>
      <c r="C30" s="5">
        <f t="shared" si="6"/>
        <v>30.001020254418201</v>
      </c>
      <c r="D30" s="5">
        <f t="shared" si="6"/>
        <v>2.0044687682234814</v>
      </c>
      <c r="E30" s="5">
        <f t="shared" si="7"/>
        <v>84.121676996452209</v>
      </c>
      <c r="F30" s="7">
        <f t="shared" si="0"/>
        <v>0.24335399290441728</v>
      </c>
      <c r="G30" s="7">
        <f t="shared" si="1"/>
        <v>6.5705578084192666</v>
      </c>
      <c r="H30" s="3">
        <f t="shared" si="2"/>
        <v>29.995903477889616</v>
      </c>
      <c r="I30" s="3">
        <f t="shared" si="3"/>
        <v>2.00155342772084</v>
      </c>
      <c r="J30">
        <f t="shared" si="4"/>
        <v>0.82022608988405621</v>
      </c>
      <c r="K30">
        <f t="shared" si="5"/>
        <v>1832.9580400190987</v>
      </c>
    </row>
    <row r="31" spans="1:11" x14ac:dyDescent="0.2">
      <c r="A31">
        <v>17</v>
      </c>
      <c r="B31">
        <v>64</v>
      </c>
      <c r="C31" s="5">
        <f t="shared" si="6"/>
        <v>29.995903477889616</v>
      </c>
      <c r="D31" s="5">
        <f t="shared" si="6"/>
        <v>2.00155342772084</v>
      </c>
      <c r="E31" s="5">
        <f t="shared" si="7"/>
        <v>64.022311749143896</v>
      </c>
      <c r="F31" s="7">
        <f t="shared" si="0"/>
        <v>4.4623498287791108E-2</v>
      </c>
      <c r="G31" s="7">
        <f t="shared" si="1"/>
        <v>0.75859947089244884</v>
      </c>
      <c r="H31" s="3">
        <f t="shared" si="2"/>
        <v>29.994918045528706</v>
      </c>
      <c r="I31" s="3">
        <f t="shared" si="3"/>
        <v>2.0011990501151922</v>
      </c>
      <c r="J31">
        <f t="shared" si="4"/>
        <v>0.73840260655559464</v>
      </c>
      <c r="K31">
        <f t="shared" si="5"/>
        <v>1649.7197833329128</v>
      </c>
    </row>
    <row r="32" spans="1:11" x14ac:dyDescent="0.2">
      <c r="A32">
        <v>8</v>
      </c>
      <c r="B32">
        <v>46</v>
      </c>
      <c r="C32" s="5">
        <f t="shared" si="6"/>
        <v>29.994918045528706</v>
      </c>
      <c r="D32" s="5">
        <f t="shared" si="6"/>
        <v>2.0011990501151922</v>
      </c>
      <c r="E32" s="5">
        <f t="shared" si="7"/>
        <v>46.00451044645024</v>
      </c>
      <c r="F32" s="7">
        <f t="shared" si="0"/>
        <v>9.0208929004802485E-3</v>
      </c>
      <c r="G32" s="7">
        <f t="shared" si="1"/>
        <v>7.2167143203841988E-2</v>
      </c>
      <c r="H32" s="3">
        <f t="shared" si="2"/>
        <v>29.994708087294374</v>
      </c>
      <c r="I32" s="3">
        <f t="shared" si="3"/>
        <v>2.001163514452557</v>
      </c>
      <c r="J32">
        <f t="shared" si="4"/>
        <v>0.66457048355090731</v>
      </c>
      <c r="K32">
        <f t="shared" si="5"/>
        <v>1484.7483258092775</v>
      </c>
    </row>
    <row r="33" spans="1:11" x14ac:dyDescent="0.2">
      <c r="A33" s="7"/>
      <c r="B33" s="7"/>
      <c r="H33" s="3"/>
      <c r="J33" s="7">
        <v>0.63094402000661909</v>
      </c>
      <c r="K33">
        <v>2010.4775499600155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12" activePane="bottomRight" state="frozen"/>
      <selection pane="topRight" activeCell="D1" sqref="D1"/>
      <selection pane="bottomLeft" activeCell="A4" sqref="A4"/>
      <selection pane="bottomRight" activeCell="J33" sqref="J33:K3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12" activePane="bottomRight" state="frozen"/>
      <selection pane="topRight" activeCell="D1" sqref="D1"/>
      <selection pane="bottomLeft" activeCell="A4" sqref="A4"/>
      <selection pane="bottomRight" activeCell="F37" sqref="F37"/>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31.600403702806751</v>
      </c>
      <c r="D1" s="5" t="s">
        <v>14</v>
      </c>
      <c r="J1" t="s">
        <v>24</v>
      </c>
      <c r="K1">
        <v>0.7</v>
      </c>
      <c r="L1">
        <f>1-K1</f>
        <v>0.30000000000000004</v>
      </c>
      <c r="M1">
        <v>0.9</v>
      </c>
      <c r="N1">
        <f>1-M1</f>
        <v>9.9999999999999978E-2</v>
      </c>
    </row>
    <row r="2" spans="1:16" x14ac:dyDescent="0.2">
      <c r="B2" t="s">
        <v>22</v>
      </c>
      <c r="C2" s="5">
        <v>2.1361502161891996</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-2.5942163513307364</v>
      </c>
      <c r="L3">
        <f>L33</f>
        <v>-106.89640288854068</v>
      </c>
      <c r="M3">
        <f>M33</f>
        <v>751.00449153420504</v>
      </c>
      <c r="N3">
        <f>N33</f>
        <v>3487763.6463812324</v>
      </c>
      <c r="O3" s="4"/>
      <c r="P3" s="4"/>
    </row>
    <row r="4" spans="1:16" x14ac:dyDescent="0.2">
      <c r="A4">
        <v>14</v>
      </c>
      <c r="B4">
        <v>58</v>
      </c>
      <c r="C4" s="3">
        <f>C1</f>
        <v>31.600403702806751</v>
      </c>
      <c r="D4" s="3">
        <f>C2</f>
        <v>2.1361502161891996</v>
      </c>
      <c r="E4" s="3">
        <f>C4+D4*A4</f>
        <v>61.506506729455545</v>
      </c>
      <c r="F4" s="3">
        <f>(E4-B4)^2</f>
        <v>12.29558944371702</v>
      </c>
      <c r="G4" s="7">
        <f t="shared" ref="G4:G32" si="0">2*(D4*A4+C4-B4)</f>
        <v>7.0130134589110895</v>
      </c>
      <c r="H4" s="7">
        <f t="shared" ref="H4:H32" si="1">G4*A4</f>
        <v>98.182188424755253</v>
      </c>
      <c r="I4" s="3">
        <f>C4-K4*$D$2/SQRT(M4)/$F$38</f>
        <v>31.585671450120842</v>
      </c>
      <c r="J4" s="3">
        <f>D4-L4*$D$2/SQRT(N4)/$F$38</f>
        <v>2.1703323695561303</v>
      </c>
      <c r="K4">
        <f>K3*$K$1+$L$1*G4</f>
        <v>0.28795259174181176</v>
      </c>
      <c r="L4">
        <f>L3*$K$1+$L$1*H4</f>
        <v>-45.37282549455189</v>
      </c>
      <c r="M4">
        <f t="shared" ref="M4:N32" si="2">M3*$M$1+$N$1*G4^2</f>
        <v>680.82227815827127</v>
      </c>
      <c r="N4">
        <f t="shared" si="2"/>
        <v>3139951.2559554968</v>
      </c>
    </row>
    <row r="5" spans="1:16" x14ac:dyDescent="0.2">
      <c r="A5">
        <v>86</v>
      </c>
      <c r="B5">
        <v>202</v>
      </c>
      <c r="C5" s="3">
        <f>I4</f>
        <v>31.585671450120842</v>
      </c>
      <c r="D5" s="3">
        <f>J4</f>
        <v>2.1703323695561303</v>
      </c>
      <c r="E5" s="3">
        <f>C5+D5*A5</f>
        <v>218.23425523194805</v>
      </c>
      <c r="F5" s="3">
        <f t="shared" ref="F5:F32" si="3">(E5-B5)^2</f>
        <v>263.55104293603279</v>
      </c>
      <c r="G5" s="7">
        <f t="shared" si="0"/>
        <v>32.468510463896109</v>
      </c>
      <c r="H5" s="7">
        <f t="shared" si="1"/>
        <v>2792.2918998950654</v>
      </c>
      <c r="I5" s="3">
        <f t="shared" ref="I5:I32" si="4">C5-K5*$D$2/SQRT(M5)/$F$38</f>
        <v>31.090411399292034</v>
      </c>
      <c r="J5" s="3">
        <f t="shared" ref="J5:J32" si="5">D5-L5*$D$2/SQRT(N5)/$F$38</f>
        <v>1.60374222287617</v>
      </c>
      <c r="K5">
        <f t="shared" ref="K5:L20" si="6">K4*$K$1+$L$1*G5</f>
        <v>9.9421199533881026</v>
      </c>
      <c r="L5">
        <f t="shared" si="6"/>
        <v>805.92659212233343</v>
      </c>
      <c r="M5">
        <f t="shared" si="2"/>
        <v>718.16046751685724</v>
      </c>
      <c r="N5">
        <f t="shared" si="2"/>
        <v>3605645.5357819065</v>
      </c>
    </row>
    <row r="6" spans="1:16" x14ac:dyDescent="0.2">
      <c r="A6">
        <v>28</v>
      </c>
      <c r="B6">
        <v>86</v>
      </c>
      <c r="C6" s="3">
        <f>I5</f>
        <v>31.090411399292034</v>
      </c>
      <c r="D6" s="3">
        <f>J5</f>
        <v>1.60374222287617</v>
      </c>
      <c r="E6" s="3">
        <f>C6+D6*A6</f>
        <v>75.995193639824791</v>
      </c>
      <c r="F6" s="3">
        <f t="shared" si="3"/>
        <v>100.09615030460232</v>
      </c>
      <c r="G6" s="7">
        <f t="shared" si="0"/>
        <v>-20.009612720350418</v>
      </c>
      <c r="H6" s="7">
        <f t="shared" si="1"/>
        <v>-560.26915616981171</v>
      </c>
      <c r="I6" s="3">
        <f t="shared" si="4"/>
        <v>31.041668397614355</v>
      </c>
      <c r="J6" s="3">
        <f t="shared" si="5"/>
        <v>1.3116422721319365</v>
      </c>
      <c r="K6">
        <f t="shared" si="6"/>
        <v>0.95660015126654496</v>
      </c>
      <c r="L6">
        <f t="shared" si="6"/>
        <v>396.06786763468983</v>
      </c>
      <c r="M6">
        <f t="shared" si="2"/>
        <v>686.38288088701245</v>
      </c>
      <c r="N6">
        <f t="shared" si="2"/>
        <v>3276471.1349392394</v>
      </c>
    </row>
    <row r="7" spans="1:16" x14ac:dyDescent="0.2">
      <c r="A7">
        <v>51</v>
      </c>
      <c r="B7">
        <v>132</v>
      </c>
      <c r="C7" s="3">
        <f t="shared" ref="C7:D32" si="7">I6</f>
        <v>31.041668397614355</v>
      </c>
      <c r="D7" s="3">
        <f t="shared" si="7"/>
        <v>1.3116422721319365</v>
      </c>
      <c r="E7" s="3">
        <f t="shared" ref="E7:E32" si="8">C7+D7*A7</f>
        <v>97.935424276343127</v>
      </c>
      <c r="F7" s="3">
        <f t="shared" si="3"/>
        <v>1160.3953192327531</v>
      </c>
      <c r="G7" s="7">
        <f t="shared" si="0"/>
        <v>-68.129151447313745</v>
      </c>
      <c r="H7" s="7">
        <f t="shared" si="1"/>
        <v>-3474.5867238130008</v>
      </c>
      <c r="I7" s="3">
        <f t="shared" si="4"/>
        <v>31.844008306680081</v>
      </c>
      <c r="J7" s="3">
        <f t="shared" si="5"/>
        <v>1.8126638992640656</v>
      </c>
      <c r="K7">
        <f t="shared" si="6"/>
        <v>-19.769125328307545</v>
      </c>
      <c r="L7">
        <f t="shared" si="6"/>
        <v>-765.1285097996174</v>
      </c>
      <c r="M7">
        <f t="shared" si="2"/>
        <v>1081.9027204914123</v>
      </c>
      <c r="N7">
        <f t="shared" si="2"/>
        <v>4156099.311575071</v>
      </c>
    </row>
    <row r="8" spans="1:16" x14ac:dyDescent="0.2">
      <c r="A8">
        <v>28</v>
      </c>
      <c r="B8">
        <v>86</v>
      </c>
      <c r="C8" s="3">
        <f t="shared" si="7"/>
        <v>31.844008306680081</v>
      </c>
      <c r="D8" s="3">
        <f t="shared" si="7"/>
        <v>1.8126638992640656</v>
      </c>
      <c r="E8" s="3">
        <f t="shared" si="8"/>
        <v>82.598597486073913</v>
      </c>
      <c r="F8" s="3">
        <f t="shared" si="3"/>
        <v>11.569539061742702</v>
      </c>
      <c r="G8" s="7">
        <f t="shared" si="0"/>
        <v>-6.8028050278521732</v>
      </c>
      <c r="H8" s="7">
        <f t="shared" si="1"/>
        <v>-190.47854077986085</v>
      </c>
      <c r="I8" s="3">
        <f t="shared" si="4"/>
        <v>32.521727056928739</v>
      </c>
      <c r="J8" s="3">
        <f t="shared" si="5"/>
        <v>2.2215946728555851</v>
      </c>
      <c r="K8">
        <f t="shared" si="6"/>
        <v>-15.879229238170932</v>
      </c>
      <c r="L8">
        <f t="shared" si="6"/>
        <v>-592.73351909369046</v>
      </c>
      <c r="M8">
        <f t="shared" si="2"/>
        <v>978.34026406696819</v>
      </c>
      <c r="N8">
        <f t="shared" si="2"/>
        <v>3744117.5878673266</v>
      </c>
    </row>
    <row r="9" spans="1:16" x14ac:dyDescent="0.2">
      <c r="A9">
        <v>29</v>
      </c>
      <c r="B9">
        <v>88</v>
      </c>
      <c r="C9" s="3">
        <f t="shared" si="7"/>
        <v>32.521727056928739</v>
      </c>
      <c r="D9" s="3">
        <f t="shared" si="7"/>
        <v>2.2215946728555851</v>
      </c>
      <c r="E9" s="3">
        <f t="shared" si="8"/>
        <v>96.947972569740713</v>
      </c>
      <c r="F9" s="3">
        <f t="shared" si="3"/>
        <v>80.06621310883223</v>
      </c>
      <c r="G9" s="7">
        <f t="shared" si="0"/>
        <v>17.895945139481427</v>
      </c>
      <c r="H9" s="7">
        <f t="shared" si="1"/>
        <v>518.9824090449614</v>
      </c>
      <c r="I9" s="3">
        <f t="shared" si="4"/>
        <v>32.77568254656309</v>
      </c>
      <c r="J9" s="3">
        <f t="shared" si="5"/>
        <v>2.4093562292668067</v>
      </c>
      <c r="K9">
        <f t="shared" si="6"/>
        <v>-5.7466769248752234</v>
      </c>
      <c r="L9">
        <f t="shared" si="6"/>
        <v>-259.21874065209488</v>
      </c>
      <c r="M9">
        <f t="shared" si="2"/>
        <v>912.53272290380426</v>
      </c>
      <c r="N9">
        <f t="shared" si="2"/>
        <v>3396640.1031704051</v>
      </c>
    </row>
    <row r="10" spans="1:16" x14ac:dyDescent="0.2">
      <c r="A10">
        <v>72</v>
      </c>
      <c r="B10">
        <v>174</v>
      </c>
      <c r="C10" s="3">
        <f t="shared" si="7"/>
        <v>32.77568254656309</v>
      </c>
      <c r="D10" s="3">
        <f t="shared" si="7"/>
        <v>2.4093562292668067</v>
      </c>
      <c r="E10" s="3">
        <f t="shared" si="8"/>
        <v>206.24933105377318</v>
      </c>
      <c r="F10" s="3">
        <f t="shared" si="3"/>
        <v>1040.0193534158589</v>
      </c>
      <c r="G10" s="7">
        <f t="shared" si="0"/>
        <v>64.498662107546352</v>
      </c>
      <c r="H10" s="7">
        <f t="shared" si="1"/>
        <v>4643.9036717433373</v>
      </c>
      <c r="I10" s="3">
        <f t="shared" si="4"/>
        <v>32.194001632369705</v>
      </c>
      <c r="J10" s="3">
        <f t="shared" si="5"/>
        <v>1.7009222187470145</v>
      </c>
      <c r="K10">
        <f t="shared" si="6"/>
        <v>15.326924784851254</v>
      </c>
      <c r="L10">
        <f t="shared" si="6"/>
        <v>1211.717983066535</v>
      </c>
      <c r="M10">
        <f t="shared" si="2"/>
        <v>1237.2871919797672</v>
      </c>
      <c r="N10">
        <f t="shared" si="2"/>
        <v>5213560.2240964891</v>
      </c>
    </row>
    <row r="11" spans="1:16" x14ac:dyDescent="0.2">
      <c r="A11">
        <v>62</v>
      </c>
      <c r="B11">
        <v>154</v>
      </c>
      <c r="C11" s="3">
        <f t="shared" si="7"/>
        <v>32.194001632369705</v>
      </c>
      <c r="D11" s="3">
        <f t="shared" si="7"/>
        <v>1.7009222187470145</v>
      </c>
      <c r="E11" s="3">
        <f t="shared" si="8"/>
        <v>137.6511791946846</v>
      </c>
      <c r="F11" s="3">
        <f t="shared" si="3"/>
        <v>267.28394172431365</v>
      </c>
      <c r="G11" s="7">
        <f t="shared" si="0"/>
        <v>-32.697641610630797</v>
      </c>
      <c r="H11" s="7">
        <f t="shared" si="1"/>
        <v>-2027.2537798591093</v>
      </c>
      <c r="I11" s="3">
        <f t="shared" si="4"/>
        <v>32.158863491896952</v>
      </c>
      <c r="J11" s="3">
        <f t="shared" si="5"/>
        <v>1.5590805888605319</v>
      </c>
      <c r="K11">
        <f t="shared" si="6"/>
        <v>0.91955486620663685</v>
      </c>
      <c r="L11">
        <f t="shared" si="6"/>
        <v>240.02645418884163</v>
      </c>
      <c r="M11">
        <f t="shared" si="2"/>
        <v>1220.4720494715159</v>
      </c>
      <c r="N11">
        <f t="shared" si="2"/>
        <v>5103179.990482145</v>
      </c>
    </row>
    <row r="12" spans="1:16" x14ac:dyDescent="0.2">
      <c r="A12">
        <v>84</v>
      </c>
      <c r="B12">
        <v>198</v>
      </c>
      <c r="C12" s="3">
        <f t="shared" si="7"/>
        <v>32.158863491896952</v>
      </c>
      <c r="D12" s="3">
        <f t="shared" si="7"/>
        <v>1.5590805888605319</v>
      </c>
      <c r="E12" s="3">
        <f t="shared" si="8"/>
        <v>163.12163295618166</v>
      </c>
      <c r="F12" s="3">
        <f t="shared" si="3"/>
        <v>1216.5004876433136</v>
      </c>
      <c r="G12" s="7">
        <f t="shared" si="0"/>
        <v>-69.756734087636687</v>
      </c>
      <c r="H12" s="7">
        <f t="shared" si="1"/>
        <v>-5859.5656633614817</v>
      </c>
      <c r="I12" s="3">
        <f t="shared" si="4"/>
        <v>32.838984638634358</v>
      </c>
      <c r="J12" s="3">
        <f t="shared" si="5"/>
        <v>2.308221432074312</v>
      </c>
      <c r="K12">
        <f t="shared" si="6"/>
        <v>-20.283331819946365</v>
      </c>
      <c r="L12">
        <f t="shared" si="6"/>
        <v>-1589.8511810762557</v>
      </c>
      <c r="M12">
        <f t="shared" si="2"/>
        <v>1585.0250395816897</v>
      </c>
      <c r="N12">
        <f t="shared" si="2"/>
        <v>8026312.9677584181</v>
      </c>
    </row>
    <row r="13" spans="1:16" x14ac:dyDescent="0.2">
      <c r="A13">
        <v>15</v>
      </c>
      <c r="B13">
        <v>60</v>
      </c>
      <c r="C13" s="3">
        <f t="shared" si="7"/>
        <v>32.838984638634358</v>
      </c>
      <c r="D13" s="3">
        <f t="shared" si="7"/>
        <v>2.308221432074312</v>
      </c>
      <c r="E13" s="3">
        <f t="shared" si="8"/>
        <v>67.46230611974903</v>
      </c>
      <c r="F13" s="3">
        <f t="shared" si="3"/>
        <v>55.686012624843826</v>
      </c>
      <c r="G13" s="7">
        <f t="shared" si="0"/>
        <v>14.92461223949806</v>
      </c>
      <c r="H13" s="7">
        <f t="shared" si="1"/>
        <v>223.8691835924709</v>
      </c>
      <c r="I13" s="3">
        <f t="shared" si="4"/>
        <v>33.1799183399825</v>
      </c>
      <c r="J13" s="3">
        <f t="shared" si="5"/>
        <v>2.8274478935697815</v>
      </c>
      <c r="K13">
        <f t="shared" si="6"/>
        <v>-9.7209486021130367</v>
      </c>
      <c r="L13">
        <f t="shared" si="6"/>
        <v>-1045.7350716756378</v>
      </c>
      <c r="M13">
        <f t="shared" si="2"/>
        <v>1448.7969406734583</v>
      </c>
      <c r="N13">
        <f t="shared" si="2"/>
        <v>7228693.4121188121</v>
      </c>
    </row>
    <row r="14" spans="1:16" x14ac:dyDescent="0.2">
      <c r="A14">
        <v>42</v>
      </c>
      <c r="B14">
        <v>114</v>
      </c>
      <c r="C14" s="3">
        <f t="shared" si="7"/>
        <v>33.1799183399825</v>
      </c>
      <c r="D14" s="3">
        <f t="shared" si="7"/>
        <v>2.8274478935697815</v>
      </c>
      <c r="E14" s="3">
        <f t="shared" si="8"/>
        <v>151.93272986991332</v>
      </c>
      <c r="F14" s="3">
        <f t="shared" si="3"/>
        <v>1438.891995383814</v>
      </c>
      <c r="G14" s="7">
        <f t="shared" si="0"/>
        <v>75.865459739826633</v>
      </c>
      <c r="H14" s="7">
        <f t="shared" si="1"/>
        <v>3186.3493090727188</v>
      </c>
      <c r="I14" s="3">
        <f t="shared" si="4"/>
        <v>32.688622622510493</v>
      </c>
      <c r="J14" s="3">
        <f t="shared" si="5"/>
        <v>2.7184647448891694</v>
      </c>
      <c r="K14">
        <f t="shared" si="6"/>
        <v>15.95497390046887</v>
      </c>
      <c r="L14">
        <f t="shared" si="6"/>
        <v>223.89024254886931</v>
      </c>
      <c r="M14">
        <f t="shared" si="2"/>
        <v>1879.474044759638</v>
      </c>
      <c r="N14">
        <f t="shared" si="2"/>
        <v>7521106.26284975</v>
      </c>
    </row>
    <row r="15" spans="1:16" x14ac:dyDescent="0.2">
      <c r="A15">
        <v>62</v>
      </c>
      <c r="B15">
        <v>154</v>
      </c>
      <c r="C15" s="3">
        <f t="shared" si="7"/>
        <v>32.688622622510493</v>
      </c>
      <c r="D15" s="3">
        <f>J14</f>
        <v>2.7184647448891694</v>
      </c>
      <c r="E15" s="3">
        <f t="shared" si="8"/>
        <v>201.23343680563897</v>
      </c>
      <c r="F15" s="3">
        <f t="shared" si="3"/>
        <v>2230.9975524722904</v>
      </c>
      <c r="G15" s="7">
        <f t="shared" si="0"/>
        <v>94.466873611277947</v>
      </c>
      <c r="H15" s="7">
        <f t="shared" si="1"/>
        <v>5856.9461638992325</v>
      </c>
      <c r="I15" s="3">
        <f t="shared" si="4"/>
        <v>31.651055833571128</v>
      </c>
      <c r="J15" s="3">
        <f t="shared" si="5"/>
        <v>1.9184898515584519</v>
      </c>
      <c r="K15">
        <f t="shared" si="6"/>
        <v>39.508543813711597</v>
      </c>
      <c r="L15">
        <f t="shared" si="6"/>
        <v>1913.8070189539785</v>
      </c>
      <c r="M15">
        <f t="shared" si="2"/>
        <v>2583.9256612725903</v>
      </c>
      <c r="N15">
        <f t="shared" si="2"/>
        <v>10199377.473246168</v>
      </c>
    </row>
    <row r="16" spans="1:16" x14ac:dyDescent="0.2">
      <c r="A16">
        <v>47</v>
      </c>
      <c r="B16">
        <v>124</v>
      </c>
      <c r="C16" s="3">
        <f t="shared" si="7"/>
        <v>31.651055833571128</v>
      </c>
      <c r="D16" s="3">
        <f t="shared" si="7"/>
        <v>1.9184898515584519</v>
      </c>
      <c r="E16" s="3">
        <f t="shared" si="8"/>
        <v>121.82007885681836</v>
      </c>
      <c r="F16" s="3">
        <f t="shared" si="3"/>
        <v>4.752056190490368</v>
      </c>
      <c r="G16" s="7">
        <f t="shared" si="0"/>
        <v>-4.3598422863632891</v>
      </c>
      <c r="H16" s="7">
        <f t="shared" si="1"/>
        <v>-204.91258745907459</v>
      </c>
      <c r="I16" s="3">
        <f t="shared" si="4"/>
        <v>30.921977011575589</v>
      </c>
      <c r="J16" s="3">
        <f t="shared" si="5"/>
        <v>1.3554314344362668</v>
      </c>
      <c r="K16">
        <f t="shared" si="6"/>
        <v>26.348027983689128</v>
      </c>
      <c r="L16">
        <f t="shared" si="6"/>
        <v>1278.1911370300625</v>
      </c>
      <c r="M16">
        <f t="shared" si="2"/>
        <v>2327.4339176215276</v>
      </c>
      <c r="N16">
        <f t="shared" si="2"/>
        <v>9183638.6427714694</v>
      </c>
    </row>
    <row r="17" spans="1:14" x14ac:dyDescent="0.2">
      <c r="A17">
        <v>35</v>
      </c>
      <c r="B17">
        <v>100</v>
      </c>
      <c r="C17" s="3">
        <f t="shared" si="7"/>
        <v>30.921977011575589</v>
      </c>
      <c r="D17" s="3">
        <f t="shared" si="7"/>
        <v>1.3554314344362668</v>
      </c>
      <c r="E17" s="3">
        <f t="shared" si="8"/>
        <v>78.362077216844924</v>
      </c>
      <c r="F17" s="3">
        <f t="shared" si="3"/>
        <v>468.19970236978151</v>
      </c>
      <c r="G17" s="7">
        <f t="shared" si="0"/>
        <v>-43.275845566310153</v>
      </c>
      <c r="H17" s="7">
        <f t="shared" si="1"/>
        <v>-1514.6545948208554</v>
      </c>
      <c r="I17" s="3">
        <f t="shared" si="4"/>
        <v>30.769371030223894</v>
      </c>
      <c r="J17" s="3">
        <f t="shared" si="5"/>
        <v>1.1537449466831462</v>
      </c>
      <c r="K17">
        <f t="shared" si="6"/>
        <v>5.4608659186893416</v>
      </c>
      <c r="L17">
        <f t="shared" si="6"/>
        <v>440.337417474787</v>
      </c>
      <c r="M17">
        <f t="shared" si="2"/>
        <v>2281.9704068072874</v>
      </c>
      <c r="N17">
        <f t="shared" si="2"/>
        <v>8494692.6326555163</v>
      </c>
    </row>
    <row r="18" spans="1:14" x14ac:dyDescent="0.2">
      <c r="A18">
        <v>9</v>
      </c>
      <c r="B18">
        <v>48</v>
      </c>
      <c r="C18" s="3">
        <f t="shared" si="7"/>
        <v>30.769371030223894</v>
      </c>
      <c r="D18" s="3">
        <f t="shared" si="7"/>
        <v>1.1537449466831462</v>
      </c>
      <c r="E18" s="3">
        <f t="shared" si="8"/>
        <v>41.153075550372208</v>
      </c>
      <c r="F18" s="3">
        <f t="shared" si="3"/>
        <v>46.880374418910847</v>
      </c>
      <c r="G18" s="7">
        <f t="shared" si="0"/>
        <v>-13.693848899255585</v>
      </c>
      <c r="H18" s="7">
        <f t="shared" si="1"/>
        <v>-123.24464009330026</v>
      </c>
      <c r="I18" s="3">
        <f t="shared" si="4"/>
        <v>30.777744298911035</v>
      </c>
      <c r="J18" s="3">
        <f t="shared" si="5"/>
        <v>1.0227914617886773</v>
      </c>
      <c r="K18">
        <f t="shared" si="6"/>
        <v>-0.28554852669413711</v>
      </c>
      <c r="L18">
        <f t="shared" si="6"/>
        <v>271.26280020436081</v>
      </c>
      <c r="M18">
        <f t="shared" si="2"/>
        <v>2072.5255158941231</v>
      </c>
      <c r="N18">
        <f t="shared" si="2"/>
        <v>7646742.2935211379</v>
      </c>
    </row>
    <row r="19" spans="1:14" x14ac:dyDescent="0.2">
      <c r="A19">
        <v>38</v>
      </c>
      <c r="B19">
        <v>106</v>
      </c>
      <c r="C19" s="3">
        <f t="shared" si="7"/>
        <v>30.777744298911035</v>
      </c>
      <c r="D19" s="3">
        <f t="shared" si="7"/>
        <v>1.0227914617886773</v>
      </c>
      <c r="E19" s="3">
        <f t="shared" si="8"/>
        <v>69.643819846880774</v>
      </c>
      <c r="F19" s="3">
        <f t="shared" si="3"/>
        <v>1321.7718353260602</v>
      </c>
      <c r="G19" s="7">
        <f t="shared" si="0"/>
        <v>-72.712360306238452</v>
      </c>
      <c r="H19" s="7">
        <f t="shared" si="1"/>
        <v>-2763.0696916370612</v>
      </c>
      <c r="I19" s="3">
        <f t="shared" si="4"/>
        <v>31.378358432660253</v>
      </c>
      <c r="J19" s="3">
        <f t="shared" si="5"/>
        <v>1.3313143598341126</v>
      </c>
      <c r="K19">
        <f t="shared" si="6"/>
        <v>-22.013592060557436</v>
      </c>
      <c r="L19">
        <f t="shared" si="6"/>
        <v>-639.03694734806595</v>
      </c>
      <c r="M19">
        <f t="shared" si="2"/>
        <v>2393.9816984351351</v>
      </c>
      <c r="N19">
        <f t="shared" si="2"/>
        <v>7645523.4762533568</v>
      </c>
    </row>
    <row r="20" spans="1:14" x14ac:dyDescent="0.2">
      <c r="A20">
        <v>44</v>
      </c>
      <c r="B20">
        <v>118</v>
      </c>
      <c r="C20" s="3">
        <f t="shared" si="7"/>
        <v>31.378358432660253</v>
      </c>
      <c r="D20" s="3">
        <f t="shared" si="7"/>
        <v>1.3313143598341126</v>
      </c>
      <c r="E20" s="3">
        <f t="shared" si="8"/>
        <v>89.956190265361201</v>
      </c>
      <c r="F20" s="3">
        <f t="shared" si="3"/>
        <v>786.4552644326219</v>
      </c>
      <c r="G20" s="7">
        <f t="shared" si="0"/>
        <v>-56.087619469277598</v>
      </c>
      <c r="H20" s="7">
        <f t="shared" si="1"/>
        <v>-2467.8552566482144</v>
      </c>
      <c r="I20" s="3">
        <f t="shared" si="4"/>
        <v>32.244379368637247</v>
      </c>
      <c r="J20" s="3">
        <f t="shared" si="5"/>
        <v>1.9106422178694253</v>
      </c>
      <c r="K20">
        <f t="shared" si="6"/>
        <v>-32.235800283173489</v>
      </c>
      <c r="L20">
        <f t="shared" si="6"/>
        <v>-1187.6824401381107</v>
      </c>
      <c r="M20">
        <f t="shared" si="2"/>
        <v>2469.16563436467</v>
      </c>
      <c r="N20">
        <f t="shared" si="2"/>
        <v>7490002.0854046438</v>
      </c>
    </row>
    <row r="21" spans="1:14" x14ac:dyDescent="0.2">
      <c r="A21">
        <v>99</v>
      </c>
      <c r="B21">
        <v>228</v>
      </c>
      <c r="C21" s="3">
        <f t="shared" si="7"/>
        <v>32.244379368637247</v>
      </c>
      <c r="D21" s="3">
        <f t="shared" si="7"/>
        <v>1.9106422178694253</v>
      </c>
      <c r="E21" s="3">
        <f t="shared" si="8"/>
        <v>221.39795893771037</v>
      </c>
      <c r="F21" s="3">
        <f t="shared" si="3"/>
        <v>43.586946188158379</v>
      </c>
      <c r="G21" s="7">
        <f t="shared" si="0"/>
        <v>-13.204082124579259</v>
      </c>
      <c r="H21" s="7">
        <f t="shared" si="1"/>
        <v>-1307.2041303333467</v>
      </c>
      <c r="I21" s="3">
        <f t="shared" si="4"/>
        <v>32.992631764743827</v>
      </c>
      <c r="J21" s="3">
        <f t="shared" si="5"/>
        <v>2.5319184590447583</v>
      </c>
      <c r="K21">
        <f t="shared" ref="K21:L32" si="9">K20*$K$1+$L$1*G21</f>
        <v>-26.52628483559522</v>
      </c>
      <c r="L21">
        <f t="shared" si="9"/>
        <v>-1223.5389471966814</v>
      </c>
      <c r="M21">
        <f t="shared" si="2"/>
        <v>2239.6838494034669</v>
      </c>
      <c r="N21">
        <f t="shared" si="2"/>
        <v>6911880.140700236</v>
      </c>
    </row>
    <row r="22" spans="1:14" x14ac:dyDescent="0.2">
      <c r="A22">
        <v>13</v>
      </c>
      <c r="B22">
        <v>56</v>
      </c>
      <c r="C22" s="3">
        <f t="shared" si="7"/>
        <v>32.992631764743827</v>
      </c>
      <c r="D22" s="3">
        <f t="shared" si="7"/>
        <v>2.5319184590447583</v>
      </c>
      <c r="E22" s="3">
        <f t="shared" si="8"/>
        <v>65.907571732325692</v>
      </c>
      <c r="F22" s="3">
        <f t="shared" si="3"/>
        <v>98.159977631179117</v>
      </c>
      <c r="G22" s="7">
        <f t="shared" si="0"/>
        <v>19.815143464651385</v>
      </c>
      <c r="H22" s="7">
        <f t="shared" si="1"/>
        <v>257.596865040468</v>
      </c>
      <c r="I22" s="3">
        <f t="shared" si="4"/>
        <v>33.364383794345684</v>
      </c>
      <c r="J22" s="3">
        <f t="shared" si="5"/>
        <v>2.9487514913837689</v>
      </c>
      <c r="K22">
        <f t="shared" si="9"/>
        <v>-12.623856345521236</v>
      </c>
      <c r="L22">
        <f t="shared" si="9"/>
        <v>-779.19820352553654</v>
      </c>
      <c r="M22">
        <f t="shared" si="2"/>
        <v>2054.9794555155918</v>
      </c>
      <c r="N22">
        <f t="shared" si="2"/>
        <v>6227327.74111808</v>
      </c>
    </row>
    <row r="23" spans="1:14" x14ac:dyDescent="0.2">
      <c r="A23">
        <v>21</v>
      </c>
      <c r="B23">
        <v>72</v>
      </c>
      <c r="C23" s="3">
        <f t="shared" si="7"/>
        <v>33.364383794345684</v>
      </c>
      <c r="D23" s="3">
        <f t="shared" si="7"/>
        <v>2.9487514913837689</v>
      </c>
      <c r="E23" s="3">
        <f t="shared" si="8"/>
        <v>95.28816511340483</v>
      </c>
      <c r="F23" s="3">
        <f t="shared" si="3"/>
        <v>542.33863434920579</v>
      </c>
      <c r="G23" s="7">
        <f t="shared" si="0"/>
        <v>46.57633022680966</v>
      </c>
      <c r="H23" s="7">
        <f t="shared" si="1"/>
        <v>978.10293476300285</v>
      </c>
      <c r="I23" s="3">
        <f t="shared" si="4"/>
        <v>33.213550240977874</v>
      </c>
      <c r="J23" s="3">
        <f t="shared" si="5"/>
        <v>3.0896582000362729</v>
      </c>
      <c r="K23">
        <f t="shared" si="9"/>
        <v>5.1361996261780352</v>
      </c>
      <c r="L23">
        <f t="shared" si="9"/>
        <v>-252.00786203897462</v>
      </c>
      <c r="M23">
        <f t="shared" si="2"/>
        <v>2066.4169637037148</v>
      </c>
      <c r="N23">
        <f t="shared" si="2"/>
        <v>5700263.5021054717</v>
      </c>
    </row>
    <row r="24" spans="1:14" x14ac:dyDescent="0.2">
      <c r="A24">
        <v>28</v>
      </c>
      <c r="B24">
        <v>86</v>
      </c>
      <c r="C24" s="3">
        <f t="shared" si="7"/>
        <v>33.213550240977874</v>
      </c>
      <c r="D24" s="3">
        <f t="shared" si="7"/>
        <v>3.0896582000362729</v>
      </c>
      <c r="E24" s="3">
        <f t="shared" si="8"/>
        <v>119.72397984199353</v>
      </c>
      <c r="F24" s="3">
        <f t="shared" si="3"/>
        <v>1137.3068163831856</v>
      </c>
      <c r="G24" s="7">
        <f t="shared" si="0"/>
        <v>67.447959683987051</v>
      </c>
      <c r="H24" s="7">
        <f t="shared" si="1"/>
        <v>1888.5428711516374</v>
      </c>
      <c r="I24" s="3">
        <f t="shared" si="4"/>
        <v>32.552343979263028</v>
      </c>
      <c r="J24" s="3">
        <f t="shared" si="5"/>
        <v>2.867305984334251</v>
      </c>
      <c r="K24">
        <f t="shared" si="9"/>
        <v>23.829727643520744</v>
      </c>
      <c r="L24">
        <f t="shared" si="9"/>
        <v>390.15735791820913</v>
      </c>
      <c r="M24">
        <f t="shared" si="2"/>
        <v>2314.6979938866175</v>
      </c>
      <c r="N24">
        <f t="shared" si="2"/>
        <v>5486896.5695126913</v>
      </c>
    </row>
    <row r="25" spans="1:14" x14ac:dyDescent="0.2">
      <c r="A25">
        <v>20</v>
      </c>
      <c r="B25">
        <v>70</v>
      </c>
      <c r="C25" s="3">
        <f t="shared" si="7"/>
        <v>32.552343979263028</v>
      </c>
      <c r="D25" s="3">
        <f t="shared" si="7"/>
        <v>2.867305984334251</v>
      </c>
      <c r="E25" s="3">
        <f t="shared" si="8"/>
        <v>89.898463665948043</v>
      </c>
      <c r="F25" s="3">
        <f t="shared" si="3"/>
        <v>395.94885626505442</v>
      </c>
      <c r="G25" s="7">
        <f t="shared" si="0"/>
        <v>39.796927331896086</v>
      </c>
      <c r="H25" s="7">
        <f t="shared" si="1"/>
        <v>795.93854663792172</v>
      </c>
      <c r="I25" s="3">
        <f t="shared" si="4"/>
        <v>31.745381836079474</v>
      </c>
      <c r="J25" s="3">
        <f t="shared" si="5"/>
        <v>2.561750234578879</v>
      </c>
      <c r="K25">
        <f t="shared" si="9"/>
        <v>28.619887550033347</v>
      </c>
      <c r="L25">
        <f t="shared" si="9"/>
        <v>511.89171453412291</v>
      </c>
      <c r="M25">
        <f t="shared" si="2"/>
        <v>2241.6077370039775</v>
      </c>
      <c r="N25">
        <f t="shared" si="2"/>
        <v>5001558.7295638314</v>
      </c>
    </row>
    <row r="26" spans="1:14" x14ac:dyDescent="0.2">
      <c r="A26">
        <v>8</v>
      </c>
      <c r="B26">
        <v>46</v>
      </c>
      <c r="C26" s="3">
        <f t="shared" si="7"/>
        <v>31.745381836079474</v>
      </c>
      <c r="D26" s="3">
        <f t="shared" si="7"/>
        <v>2.561750234578879</v>
      </c>
      <c r="E26" s="3">
        <f t="shared" si="8"/>
        <v>52.239383712710506</v>
      </c>
      <c r="F26" s="3">
        <f t="shared" si="3"/>
        <v>38.929909114437137</v>
      </c>
      <c r="G26" s="7">
        <f t="shared" si="0"/>
        <v>12.478767425421012</v>
      </c>
      <c r="H26" s="7">
        <f t="shared" si="1"/>
        <v>99.830139403368094</v>
      </c>
      <c r="I26" s="3">
        <f t="shared" si="4"/>
        <v>31.041399978582938</v>
      </c>
      <c r="J26" s="3">
        <f t="shared" si="5"/>
        <v>2.3174744050738272</v>
      </c>
      <c r="K26">
        <f t="shared" si="9"/>
        <v>23.777551512649648</v>
      </c>
      <c r="L26">
        <f t="shared" si="9"/>
        <v>388.27324199489647</v>
      </c>
      <c r="M26">
        <f t="shared" si="2"/>
        <v>2033.0189269493546</v>
      </c>
      <c r="N26">
        <f t="shared" si="2"/>
        <v>4502399.4622807782</v>
      </c>
    </row>
    <row r="27" spans="1:14" x14ac:dyDescent="0.2">
      <c r="A27">
        <v>64</v>
      </c>
      <c r="B27">
        <v>158</v>
      </c>
      <c r="C27" s="3">
        <f t="shared" si="7"/>
        <v>31.041399978582938</v>
      </c>
      <c r="D27" s="3">
        <f t="shared" si="7"/>
        <v>2.3174744050738272</v>
      </c>
      <c r="E27" s="3">
        <f t="shared" si="8"/>
        <v>179.35976190330788</v>
      </c>
      <c r="F27" s="3">
        <f t="shared" si="3"/>
        <v>456.23942856600286</v>
      </c>
      <c r="G27" s="7">
        <f t="shared" si="0"/>
        <v>42.719523806615769</v>
      </c>
      <c r="H27" s="7">
        <f t="shared" si="1"/>
        <v>2734.0495236234092</v>
      </c>
      <c r="I27" s="3">
        <f t="shared" si="4"/>
        <v>30.16467587646515</v>
      </c>
      <c r="J27" s="3">
        <f t="shared" si="5"/>
        <v>1.652071357931824</v>
      </c>
      <c r="K27">
        <f t="shared" si="9"/>
        <v>29.460143200839486</v>
      </c>
      <c r="L27">
        <f t="shared" si="9"/>
        <v>1092.0061264834503</v>
      </c>
      <c r="M27">
        <f t="shared" si="2"/>
        <v>2012.2128056808201</v>
      </c>
      <c r="N27">
        <f t="shared" si="2"/>
        <v>4799662.1958152391</v>
      </c>
    </row>
    <row r="28" spans="1:14" x14ac:dyDescent="0.2">
      <c r="A28">
        <v>99</v>
      </c>
      <c r="B28">
        <v>228</v>
      </c>
      <c r="C28" s="3">
        <f t="shared" si="7"/>
        <v>30.16467587646515</v>
      </c>
      <c r="D28" s="3">
        <f t="shared" si="7"/>
        <v>1.652071357931824</v>
      </c>
      <c r="E28" s="3">
        <f t="shared" si="8"/>
        <v>193.71974031171573</v>
      </c>
      <c r="F28" s="3">
        <f t="shared" si="3"/>
        <v>1175.136204296208</v>
      </c>
      <c r="G28" s="7">
        <f t="shared" si="0"/>
        <v>-68.56051937656855</v>
      </c>
      <c r="H28" s="7">
        <f t="shared" si="1"/>
        <v>-6787.4914182802868</v>
      </c>
      <c r="I28" s="3">
        <f t="shared" si="4"/>
        <v>30.163168073428476</v>
      </c>
      <c r="J28" s="3">
        <f t="shared" si="5"/>
        <v>2.220339263518361</v>
      </c>
      <c r="K28">
        <f t="shared" si="9"/>
        <v>5.3944427617071966E-2</v>
      </c>
      <c r="L28">
        <f t="shared" si="9"/>
        <v>-1271.8431369456712</v>
      </c>
      <c r="M28">
        <f t="shared" si="2"/>
        <v>2281.0460068312213</v>
      </c>
      <c r="N28">
        <f t="shared" si="2"/>
        <v>8926699.9515565671</v>
      </c>
    </row>
    <row r="29" spans="1:14" x14ac:dyDescent="0.2">
      <c r="A29">
        <v>70</v>
      </c>
      <c r="B29">
        <v>170</v>
      </c>
      <c r="C29" s="3">
        <f t="shared" si="7"/>
        <v>30.163168073428476</v>
      </c>
      <c r="D29" s="3">
        <f t="shared" si="7"/>
        <v>2.220339263518361</v>
      </c>
      <c r="E29" s="3">
        <f t="shared" si="8"/>
        <v>185.58691651971372</v>
      </c>
      <c r="F29" s="3">
        <f t="shared" si="3"/>
        <v>242.95196659252463</v>
      </c>
      <c r="G29" s="7">
        <f t="shared" si="0"/>
        <v>31.17383303942745</v>
      </c>
      <c r="H29" s="7">
        <f t="shared" si="1"/>
        <v>2182.1683127599217</v>
      </c>
      <c r="I29" s="3">
        <f t="shared" si="4"/>
        <v>29.892837632862918</v>
      </c>
      <c r="J29" s="3">
        <f t="shared" si="5"/>
        <v>2.3281701622243456</v>
      </c>
      <c r="K29">
        <f t="shared" si="9"/>
        <v>9.3899110111601871</v>
      </c>
      <c r="L29">
        <f t="shared" si="9"/>
        <v>-235.63970203399322</v>
      </c>
      <c r="M29">
        <f t="shared" si="2"/>
        <v>2150.1221927851093</v>
      </c>
      <c r="N29">
        <f t="shared" si="2"/>
        <v>8510215.8109222595</v>
      </c>
    </row>
    <row r="30" spans="1:14" x14ac:dyDescent="0.2">
      <c r="A30">
        <v>27</v>
      </c>
      <c r="B30">
        <v>84</v>
      </c>
      <c r="C30" s="3">
        <f t="shared" si="7"/>
        <v>29.892837632862918</v>
      </c>
      <c r="D30" s="3">
        <f t="shared" si="7"/>
        <v>2.3281701622243456</v>
      </c>
      <c r="E30" s="3">
        <f t="shared" si="8"/>
        <v>92.753432012920243</v>
      </c>
      <c r="F30" s="3">
        <f t="shared" si="3"/>
        <v>76.622572004816931</v>
      </c>
      <c r="G30" s="7">
        <f t="shared" si="0"/>
        <v>17.506864025840486</v>
      </c>
      <c r="H30" s="7">
        <f t="shared" si="1"/>
        <v>472.68532869769308</v>
      </c>
      <c r="I30" s="3">
        <f t="shared" si="4"/>
        <v>29.536795867128934</v>
      </c>
      <c r="J30" s="3">
        <f t="shared" si="5"/>
        <v>2.3393168408619092</v>
      </c>
      <c r="K30">
        <f t="shared" si="9"/>
        <v>11.824996915564277</v>
      </c>
      <c r="L30">
        <f t="shared" si="9"/>
        <v>-23.142192814487316</v>
      </c>
      <c r="M30">
        <f t="shared" si="2"/>
        <v>1965.7590023085252</v>
      </c>
      <c r="N30">
        <f t="shared" si="2"/>
        <v>7681537.3718266385</v>
      </c>
    </row>
    <row r="31" spans="1:14" x14ac:dyDescent="0.2">
      <c r="A31">
        <v>17</v>
      </c>
      <c r="B31">
        <v>64</v>
      </c>
      <c r="C31" s="3">
        <f t="shared" si="7"/>
        <v>29.536795867128934</v>
      </c>
      <c r="D31" s="3">
        <f t="shared" si="7"/>
        <v>2.3393168408619092</v>
      </c>
      <c r="E31" s="3">
        <f t="shared" si="8"/>
        <v>69.305182161781389</v>
      </c>
      <c r="F31" s="3">
        <f t="shared" si="3"/>
        <v>28.144957769683447</v>
      </c>
      <c r="G31" s="7">
        <f t="shared" si="0"/>
        <v>10.610364323562777</v>
      </c>
      <c r="H31" s="7">
        <f t="shared" si="1"/>
        <v>180.37619350056721</v>
      </c>
      <c r="I31" s="3">
        <f t="shared" si="4"/>
        <v>29.174211672900675</v>
      </c>
      <c r="J31" s="3">
        <f t="shared" si="5"/>
        <v>2.3200722181776232</v>
      </c>
      <c r="K31">
        <f t="shared" si="9"/>
        <v>11.460607137963827</v>
      </c>
      <c r="L31">
        <f t="shared" si="9"/>
        <v>37.913323080029059</v>
      </c>
      <c r="M31">
        <f t="shared" si="2"/>
        <v>1780.4410851855459</v>
      </c>
      <c r="N31">
        <f t="shared" si="2"/>
        <v>6916637.1917621503</v>
      </c>
    </row>
    <row r="32" spans="1:14" x14ac:dyDescent="0.2">
      <c r="A32">
        <v>8</v>
      </c>
      <c r="B32">
        <v>46</v>
      </c>
      <c r="C32" s="3">
        <f t="shared" si="7"/>
        <v>29.174211672900675</v>
      </c>
      <c r="D32" s="3">
        <f t="shared" si="7"/>
        <v>2.3200722181776232</v>
      </c>
      <c r="E32" s="3">
        <f t="shared" si="8"/>
        <v>47.734789418321661</v>
      </c>
      <c r="F32" s="3">
        <f t="shared" si="3"/>
        <v>3.0094943259208069</v>
      </c>
      <c r="G32" s="7">
        <f t="shared" si="0"/>
        <v>3.469578836643322</v>
      </c>
      <c r="H32" s="7">
        <f t="shared" si="1"/>
        <v>27.756630693146576</v>
      </c>
      <c r="I32" s="3">
        <f t="shared" si="4"/>
        <v>28.872075162566954</v>
      </c>
      <c r="J32" s="3">
        <f t="shared" si="5"/>
        <v>2.3014170288630362</v>
      </c>
      <c r="K32">
        <f t="shared" si="9"/>
        <v>9.0632986475676738</v>
      </c>
      <c r="L32">
        <f t="shared" si="9"/>
        <v>34.866315363964318</v>
      </c>
      <c r="M32">
        <f t="shared" si="2"/>
        <v>1603.6007743973596</v>
      </c>
      <c r="N32">
        <f t="shared" si="2"/>
        <v>6225050.5156406788</v>
      </c>
    </row>
    <row r="33" spans="1:16" x14ac:dyDescent="0.2">
      <c r="A33" s="7"/>
      <c r="B33" s="7"/>
      <c r="E33" s="5" t="s">
        <v>25</v>
      </c>
      <c r="F33" s="5">
        <f>SQRT(SUM(F4:F32))</f>
        <v>121.42400171949679</v>
      </c>
      <c r="I33" s="3"/>
      <c r="K33">
        <v>-2.5942163513307364</v>
      </c>
      <c r="L33">
        <v>-106.89640288854068</v>
      </c>
      <c r="M33" s="7">
        <v>751.00449153420504</v>
      </c>
      <c r="N33" s="7">
        <v>3487763.6463812324</v>
      </c>
      <c r="P33" s="10"/>
    </row>
    <row r="34" spans="1:16" x14ac:dyDescent="0.2">
      <c r="E34" s="5" t="s">
        <v>26</v>
      </c>
      <c r="F34" s="5">
        <v>83.970982939900779</v>
      </c>
    </row>
    <row r="35" spans="1:16" x14ac:dyDescent="0.2">
      <c r="E35" s="5" t="s">
        <v>27</v>
      </c>
      <c r="F35" s="5">
        <v>65.740292741703129</v>
      </c>
    </row>
    <row r="36" spans="1:16" x14ac:dyDescent="0.2">
      <c r="E36" s="5" t="s">
        <v>28</v>
      </c>
      <c r="F36" s="7">
        <f>ABS(ft_1-ft_2)/MIN(ft_1,ft_2)</f>
        <v>0.27731379703201103</v>
      </c>
    </row>
    <row r="37" spans="1:16" x14ac:dyDescent="0.2">
      <c r="E37" s="5" t="s">
        <v>29</v>
      </c>
      <c r="F37" s="7">
        <v>0.80151140615663596</v>
      </c>
      <c r="H37" s="7" t="s">
        <v>24</v>
      </c>
    </row>
    <row r="38" spans="1:16" x14ac:dyDescent="0.2">
      <c r="E38" s="5" t="s">
        <v>30</v>
      </c>
      <c r="F38" s="7">
        <f>dt_1*H38+(1-H38)*rtee</f>
        <v>0.74909164524417349</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topLeftCell="A2"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27.052424244089472</v>
      </c>
      <c r="D1" s="5" t="s">
        <v>14</v>
      </c>
      <c r="F1">
        <v>4.5800844401545078</v>
      </c>
      <c r="G1">
        <v>255.89482803317142</v>
      </c>
      <c r="H1">
        <v>100</v>
      </c>
      <c r="J1">
        <v>3.1176536655983821E-2</v>
      </c>
    </row>
    <row r="2" spans="1:10" x14ac:dyDescent="0.2">
      <c r="B2" t="s">
        <v>22</v>
      </c>
      <c r="C2" s="5">
        <v>2.0432754882460427</v>
      </c>
      <c r="D2">
        <v>6.25E-2</v>
      </c>
      <c r="F2">
        <f>$D$2/F1</f>
        <v>1.3646036621519489E-2</v>
      </c>
      <c r="G2">
        <f>$D$2/G1</f>
        <v>2.4424096602647312E-4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27.052424244089472</v>
      </c>
      <c r="D4" s="5">
        <f>C2</f>
        <v>2.0432754882460427</v>
      </c>
      <c r="E4" s="5">
        <f>C4+D4*A4</f>
        <v>55.658281079534071</v>
      </c>
      <c r="F4" s="3">
        <f t="shared" ref="F4:F32" si="0">2*(D4*A4+C4-B4)</f>
        <v>-4.6834378409318589</v>
      </c>
      <c r="G4" s="3">
        <f t="shared" ref="G4:G32" si="1">F4*A4</f>
        <v>-65.568129773046024</v>
      </c>
      <c r="H4" s="3">
        <f t="shared" ref="H4:H32" si="2">D4-G4*$G$2</f>
        <v>2.0592899116023604</v>
      </c>
      <c r="I4" s="3">
        <f t="shared" ref="I4:I32" si="3">C4-F4*$F$2</f>
        <v>27.11633460838144</v>
      </c>
    </row>
    <row r="5" spans="1:10" x14ac:dyDescent="0.2">
      <c r="A5">
        <v>86</v>
      </c>
      <c r="B5">
        <v>202</v>
      </c>
      <c r="C5" s="5">
        <f>I4</f>
        <v>27.11633460838144</v>
      </c>
      <c r="D5" s="5">
        <f>H4</f>
        <v>2.0592899116023604</v>
      </c>
      <c r="E5" s="5">
        <f>C5+D5*A5</f>
        <v>204.21526700618443</v>
      </c>
      <c r="F5" s="3">
        <f t="shared" si="0"/>
        <v>4.4305340123688666</v>
      </c>
      <c r="G5" s="3">
        <f t="shared" si="1"/>
        <v>381.02592506372253</v>
      </c>
      <c r="H5" s="3">
        <f t="shared" si="2"/>
        <v>1.9662277715836662</v>
      </c>
      <c r="I5" s="3">
        <f t="shared" si="3"/>
        <v>27.055875378995765</v>
      </c>
    </row>
    <row r="6" spans="1:10" x14ac:dyDescent="0.2">
      <c r="A6">
        <v>28</v>
      </c>
      <c r="B6">
        <v>86</v>
      </c>
      <c r="C6" s="5">
        <f>I5</f>
        <v>27.055875378995765</v>
      </c>
      <c r="D6" s="5">
        <f>H5</f>
        <v>1.9662277715836662</v>
      </c>
      <c r="E6" s="5">
        <f>C6+D6*A6</f>
        <v>82.110252983338427</v>
      </c>
      <c r="F6" s="3">
        <f t="shared" si="0"/>
        <v>-7.7794940333231466</v>
      </c>
      <c r="G6" s="3">
        <f t="shared" si="1"/>
        <v>-217.8258329330481</v>
      </c>
      <c r="H6" s="3">
        <f t="shared" si="2"/>
        <v>2.0194297634447551</v>
      </c>
      <c r="I6" s="3">
        <f t="shared" si="3"/>
        <v>27.162034639471386</v>
      </c>
    </row>
    <row r="7" spans="1:10" x14ac:dyDescent="0.2">
      <c r="A7">
        <v>51</v>
      </c>
      <c r="B7">
        <v>132</v>
      </c>
      <c r="C7" s="5">
        <f t="shared" ref="C7:C32" si="4">I6</f>
        <v>27.162034639471386</v>
      </c>
      <c r="D7" s="5">
        <f t="shared" ref="D7:D32" si="5">H6</f>
        <v>2.0194297634447551</v>
      </c>
      <c r="E7" s="5">
        <f t="shared" ref="E7:E32" si="6">C7+D7*A7</f>
        <v>130.1529525751539</v>
      </c>
      <c r="F7" s="3">
        <f t="shared" si="0"/>
        <v>-3.6940948496921919</v>
      </c>
      <c r="G7" s="3">
        <f t="shared" si="1"/>
        <v>-188.39883733430179</v>
      </c>
      <c r="H7" s="3">
        <f t="shared" si="2"/>
        <v>2.0654444774735494</v>
      </c>
      <c r="I7" s="3">
        <f t="shared" si="3"/>
        <v>27.212444393073653</v>
      </c>
    </row>
    <row r="8" spans="1:10" x14ac:dyDescent="0.2">
      <c r="A8">
        <v>28</v>
      </c>
      <c r="B8">
        <v>86</v>
      </c>
      <c r="C8" s="5">
        <f t="shared" si="4"/>
        <v>27.212444393073653</v>
      </c>
      <c r="D8" s="5">
        <f t="shared" si="5"/>
        <v>2.0654444774735494</v>
      </c>
      <c r="E8" s="5">
        <f t="shared" si="6"/>
        <v>85.044889762333042</v>
      </c>
      <c r="F8" s="3">
        <f t="shared" si="0"/>
        <v>-1.9102204753339151</v>
      </c>
      <c r="G8" s="3">
        <f t="shared" si="1"/>
        <v>-53.486173309349624</v>
      </c>
      <c r="H8" s="3">
        <f t="shared" si="2"/>
        <v>2.0785079921116845</v>
      </c>
      <c r="I8" s="3">
        <f t="shared" si="3"/>
        <v>27.238511331635237</v>
      </c>
    </row>
    <row r="9" spans="1:10" x14ac:dyDescent="0.2">
      <c r="A9">
        <v>29</v>
      </c>
      <c r="B9">
        <v>88</v>
      </c>
      <c r="C9" s="5">
        <f t="shared" si="4"/>
        <v>27.238511331635237</v>
      </c>
      <c r="D9" s="5">
        <f t="shared" si="5"/>
        <v>2.0785079921116845</v>
      </c>
      <c r="E9" s="5">
        <f t="shared" si="6"/>
        <v>87.515243102874081</v>
      </c>
      <c r="F9" s="3">
        <f t="shared" si="0"/>
        <v>-0.96951379425183859</v>
      </c>
      <c r="G9" s="3">
        <f t="shared" si="1"/>
        <v>-28.115900033303319</v>
      </c>
      <c r="H9" s="3">
        <f t="shared" si="2"/>
        <v>2.0853750466965222</v>
      </c>
      <c r="I9" s="3">
        <f t="shared" si="3"/>
        <v>27.251741352376666</v>
      </c>
    </row>
    <row r="10" spans="1:10" x14ac:dyDescent="0.2">
      <c r="A10">
        <v>72</v>
      </c>
      <c r="B10">
        <v>174</v>
      </c>
      <c r="C10" s="5">
        <f t="shared" si="4"/>
        <v>27.251741352376666</v>
      </c>
      <c r="D10" s="5">
        <f t="shared" si="5"/>
        <v>2.0853750466965222</v>
      </c>
      <c r="E10" s="5">
        <f t="shared" si="6"/>
        <v>177.39874471452626</v>
      </c>
      <c r="F10" s="3">
        <f t="shared" si="0"/>
        <v>6.7974894290525185</v>
      </c>
      <c r="G10" s="3">
        <f t="shared" si="1"/>
        <v>489.41923889178133</v>
      </c>
      <c r="H10" s="3">
        <f t="shared" si="2"/>
        <v>1.9658388189976523</v>
      </c>
      <c r="I10" s="3">
        <f t="shared" si="3"/>
        <v>27.158982562693424</v>
      </c>
    </row>
    <row r="11" spans="1:10" x14ac:dyDescent="0.2">
      <c r="A11">
        <v>62</v>
      </c>
      <c r="B11">
        <v>154</v>
      </c>
      <c r="C11" s="5">
        <f t="shared" si="4"/>
        <v>27.158982562693424</v>
      </c>
      <c r="D11" s="5">
        <f t="shared" si="5"/>
        <v>1.9658388189976523</v>
      </c>
      <c r="E11" s="5">
        <f t="shared" si="6"/>
        <v>149.04098934054787</v>
      </c>
      <c r="F11" s="3">
        <f t="shared" si="0"/>
        <v>-9.9180213189042661</v>
      </c>
      <c r="G11" s="3">
        <f t="shared" si="1"/>
        <v>-614.9173217720645</v>
      </c>
      <c r="H11" s="3">
        <f t="shared" si="2"/>
        <v>2.1160268196936731</v>
      </c>
      <c r="I11" s="3">
        <f t="shared" si="3"/>
        <v>27.294324244824203</v>
      </c>
    </row>
    <row r="12" spans="1:10" x14ac:dyDescent="0.2">
      <c r="A12">
        <v>84</v>
      </c>
      <c r="B12">
        <v>198</v>
      </c>
      <c r="C12" s="5">
        <f t="shared" si="4"/>
        <v>27.294324244824203</v>
      </c>
      <c r="D12" s="5">
        <f t="shared" si="5"/>
        <v>2.1160268196936731</v>
      </c>
      <c r="E12" s="5">
        <f t="shared" si="6"/>
        <v>205.04057709909273</v>
      </c>
      <c r="F12" s="3">
        <f t="shared" si="0"/>
        <v>14.081154198185459</v>
      </c>
      <c r="G12" s="3">
        <f t="shared" si="1"/>
        <v>1182.8169526475785</v>
      </c>
      <c r="H12" s="3">
        <f t="shared" si="2"/>
        <v>1.8271344645465395</v>
      </c>
      <c r="I12" s="3">
        <f t="shared" si="3"/>
        <v>27.1021722989625</v>
      </c>
    </row>
    <row r="13" spans="1:10" x14ac:dyDescent="0.2">
      <c r="A13">
        <v>15</v>
      </c>
      <c r="B13">
        <v>60</v>
      </c>
      <c r="C13" s="5">
        <f t="shared" si="4"/>
        <v>27.1021722989625</v>
      </c>
      <c r="D13" s="5">
        <f t="shared" si="5"/>
        <v>1.8271344645465395</v>
      </c>
      <c r="E13" s="5">
        <f t="shared" si="6"/>
        <v>54.509189267160593</v>
      </c>
      <c r="F13" s="3">
        <f t="shared" si="0"/>
        <v>-10.981621465678813</v>
      </c>
      <c r="G13" s="3">
        <f t="shared" si="1"/>
        <v>-164.7243219851822</v>
      </c>
      <c r="H13" s="3">
        <f t="shared" si="2"/>
        <v>1.8673668920762563</v>
      </c>
      <c r="I13" s="3">
        <f t="shared" si="3"/>
        <v>27.252027907646816</v>
      </c>
    </row>
    <row r="14" spans="1:10" x14ac:dyDescent="0.2">
      <c r="A14">
        <v>42</v>
      </c>
      <c r="B14">
        <v>114</v>
      </c>
      <c r="C14" s="5">
        <f t="shared" si="4"/>
        <v>27.252027907646816</v>
      </c>
      <c r="D14" s="5">
        <f t="shared" si="5"/>
        <v>1.8673668920762563</v>
      </c>
      <c r="E14" s="5">
        <f t="shared" si="6"/>
        <v>105.68143737484958</v>
      </c>
      <c r="F14" s="3">
        <f t="shared" si="0"/>
        <v>-16.637125250300841</v>
      </c>
      <c r="G14" s="3">
        <f t="shared" si="1"/>
        <v>-698.75926051263536</v>
      </c>
      <c r="H14" s="3">
        <f t="shared" si="2"/>
        <v>2.0380325288838064</v>
      </c>
      <c r="I14" s="3">
        <f t="shared" si="3"/>
        <v>27.479058728089228</v>
      </c>
    </row>
    <row r="15" spans="1:10" x14ac:dyDescent="0.2">
      <c r="A15">
        <v>62</v>
      </c>
      <c r="B15">
        <v>154</v>
      </c>
      <c r="C15" s="5">
        <f>I14</f>
        <v>27.479058728089228</v>
      </c>
      <c r="D15" s="5">
        <f>H14</f>
        <v>2.0380325288838064</v>
      </c>
      <c r="E15" s="5">
        <f t="shared" si="6"/>
        <v>153.83707551888523</v>
      </c>
      <c r="F15" s="3">
        <f t="shared" si="0"/>
        <v>-0.32584896222954285</v>
      </c>
      <c r="G15" s="3">
        <f t="shared" si="1"/>
        <v>-20.202635658231657</v>
      </c>
      <c r="H15" s="3">
        <f t="shared" si="2"/>
        <v>2.0429668401332539</v>
      </c>
      <c r="I15" s="3">
        <f t="shared" si="3"/>
        <v>27.483505274960898</v>
      </c>
    </row>
    <row r="16" spans="1:10" x14ac:dyDescent="0.2">
      <c r="A16">
        <v>47</v>
      </c>
      <c r="B16">
        <v>124</v>
      </c>
      <c r="C16" s="5">
        <f t="shared" si="4"/>
        <v>27.483505274960898</v>
      </c>
      <c r="D16" s="5">
        <f t="shared" si="5"/>
        <v>2.0429668401332539</v>
      </c>
      <c r="E16" s="5">
        <f t="shared" si="6"/>
        <v>123.50294676122382</v>
      </c>
      <c r="F16" s="3">
        <f t="shared" si="0"/>
        <v>-0.99410647755235004</v>
      </c>
      <c r="G16" s="3">
        <f t="shared" si="1"/>
        <v>-46.723004444960452</v>
      </c>
      <c r="H16" s="3">
        <f t="shared" si="2"/>
        <v>2.0543785118745501</v>
      </c>
      <c r="I16" s="3">
        <f t="shared" si="3"/>
        <v>27.497070888359268</v>
      </c>
    </row>
    <row r="17" spans="1:9" x14ac:dyDescent="0.2">
      <c r="A17">
        <v>35</v>
      </c>
      <c r="B17">
        <v>100</v>
      </c>
      <c r="C17" s="5">
        <f t="shared" si="4"/>
        <v>27.497070888359268</v>
      </c>
      <c r="D17" s="5">
        <f t="shared" si="5"/>
        <v>2.0543785118745501</v>
      </c>
      <c r="E17" s="5">
        <f t="shared" si="6"/>
        <v>99.400318803968531</v>
      </c>
      <c r="F17" s="3">
        <f t="shared" si="0"/>
        <v>-1.1993623920629375</v>
      </c>
      <c r="G17" s="3">
        <f t="shared" si="1"/>
        <v>-41.977683722202812</v>
      </c>
      <c r="H17" s="3">
        <f t="shared" si="2"/>
        <v>2.0646311818984149</v>
      </c>
      <c r="I17" s="3">
        <f t="shared" si="3"/>
        <v>27.513437431483833</v>
      </c>
    </row>
    <row r="18" spans="1:9" x14ac:dyDescent="0.2">
      <c r="A18">
        <v>9</v>
      </c>
      <c r="B18">
        <v>48</v>
      </c>
      <c r="C18" s="5">
        <f t="shared" si="4"/>
        <v>27.513437431483833</v>
      </c>
      <c r="D18" s="5">
        <f t="shared" si="5"/>
        <v>2.0646311818984149</v>
      </c>
      <c r="E18" s="5">
        <f t="shared" si="6"/>
        <v>46.095118068569562</v>
      </c>
      <c r="F18" s="3">
        <f t="shared" si="0"/>
        <v>-3.8097638628608763</v>
      </c>
      <c r="G18" s="3">
        <f t="shared" si="1"/>
        <v>-34.287874765747887</v>
      </c>
      <c r="H18" s="3">
        <f t="shared" si="2"/>
        <v>2.0730056855541958</v>
      </c>
      <c r="I18" s="3">
        <f t="shared" si="3"/>
        <v>27.565425608675774</v>
      </c>
    </row>
    <row r="19" spans="1:9" x14ac:dyDescent="0.2">
      <c r="A19">
        <v>38</v>
      </c>
      <c r="B19">
        <v>106</v>
      </c>
      <c r="C19" s="5">
        <f t="shared" si="4"/>
        <v>27.565425608675774</v>
      </c>
      <c r="D19" s="5">
        <f t="shared" si="5"/>
        <v>2.0730056855541958</v>
      </c>
      <c r="E19" s="5">
        <f t="shared" si="6"/>
        <v>106.33964165973521</v>
      </c>
      <c r="F19" s="3">
        <f t="shared" si="0"/>
        <v>0.67928331947041443</v>
      </c>
      <c r="G19" s="3">
        <f t="shared" si="1"/>
        <v>25.812766139875748</v>
      </c>
      <c r="H19" s="3">
        <f t="shared" si="2"/>
        <v>2.0667011506163773</v>
      </c>
      <c r="I19" s="3">
        <f t="shared" si="3"/>
        <v>27.556156083621893</v>
      </c>
    </row>
    <row r="20" spans="1:9" x14ac:dyDescent="0.2">
      <c r="A20">
        <v>44</v>
      </c>
      <c r="B20">
        <v>118</v>
      </c>
      <c r="C20" s="5">
        <f t="shared" si="4"/>
        <v>27.556156083621893</v>
      </c>
      <c r="D20" s="5">
        <f t="shared" si="5"/>
        <v>2.0667011506163773</v>
      </c>
      <c r="E20" s="5">
        <f t="shared" si="6"/>
        <v>118.49100671074248</v>
      </c>
      <c r="F20" s="3">
        <f t="shared" si="0"/>
        <v>0.98201342148496451</v>
      </c>
      <c r="G20" s="3">
        <f t="shared" si="1"/>
        <v>43.208590545338438</v>
      </c>
      <c r="H20" s="3">
        <f t="shared" si="2"/>
        <v>2.0561478427209416</v>
      </c>
      <c r="I20" s="3">
        <f t="shared" si="3"/>
        <v>27.542755492509485</v>
      </c>
    </row>
    <row r="21" spans="1:9" x14ac:dyDescent="0.2">
      <c r="A21">
        <v>99</v>
      </c>
      <c r="B21">
        <v>228</v>
      </c>
      <c r="C21" s="5">
        <f t="shared" si="4"/>
        <v>27.542755492509485</v>
      </c>
      <c r="D21" s="5">
        <f t="shared" si="5"/>
        <v>2.0561478427209416</v>
      </c>
      <c r="E21" s="5">
        <f t="shared" si="6"/>
        <v>231.10139192188271</v>
      </c>
      <c r="F21" s="3">
        <f t="shared" si="0"/>
        <v>6.2027838437654168</v>
      </c>
      <c r="G21" s="3">
        <f t="shared" si="1"/>
        <v>614.07560053277621</v>
      </c>
      <c r="H21" s="3">
        <f t="shared" si="2"/>
        <v>1.9061654248335298</v>
      </c>
      <c r="I21" s="3">
        <f t="shared" si="3"/>
        <v>27.458112077022093</v>
      </c>
    </row>
    <row r="22" spans="1:9" x14ac:dyDescent="0.2">
      <c r="A22">
        <v>13</v>
      </c>
      <c r="B22">
        <v>56</v>
      </c>
      <c r="C22" s="5">
        <f t="shared" si="4"/>
        <v>27.458112077022093</v>
      </c>
      <c r="D22" s="5">
        <f t="shared" si="5"/>
        <v>1.9061654248335298</v>
      </c>
      <c r="E22" s="5">
        <f t="shared" si="6"/>
        <v>52.238262599857983</v>
      </c>
      <c r="F22" s="3">
        <f t="shared" si="0"/>
        <v>-7.5234748002840348</v>
      </c>
      <c r="G22" s="3">
        <f t="shared" si="1"/>
        <v>-97.805172403692453</v>
      </c>
      <c r="H22" s="3">
        <f t="shared" si="2"/>
        <v>1.9300534546237933</v>
      </c>
      <c r="I22" s="3">
        <f t="shared" si="3"/>
        <v>27.560777689667848</v>
      </c>
    </row>
    <row r="23" spans="1:9" x14ac:dyDescent="0.2">
      <c r="A23">
        <v>21</v>
      </c>
      <c r="B23">
        <v>72</v>
      </c>
      <c r="C23" s="5">
        <f t="shared" si="4"/>
        <v>27.560777689667848</v>
      </c>
      <c r="D23" s="5">
        <f t="shared" si="5"/>
        <v>1.9300534546237933</v>
      </c>
      <c r="E23" s="5">
        <f t="shared" si="6"/>
        <v>68.091900236767501</v>
      </c>
      <c r="F23" s="3">
        <f t="shared" si="0"/>
        <v>-7.8161995264649988</v>
      </c>
      <c r="G23" s="3">
        <f t="shared" si="1"/>
        <v>-164.14019005576498</v>
      </c>
      <c r="H23" s="3">
        <f t="shared" si="2"/>
        <v>1.9701432132067822</v>
      </c>
      <c r="I23" s="3">
        <f t="shared" si="3"/>
        <v>27.667437834647092</v>
      </c>
    </row>
    <row r="24" spans="1:9" x14ac:dyDescent="0.2">
      <c r="A24">
        <v>28</v>
      </c>
      <c r="B24">
        <v>86</v>
      </c>
      <c r="C24" s="5">
        <f t="shared" si="4"/>
        <v>27.667437834647092</v>
      </c>
      <c r="D24" s="5">
        <f t="shared" si="5"/>
        <v>1.9701432132067822</v>
      </c>
      <c r="E24" s="5">
        <f t="shared" si="6"/>
        <v>82.831447804436991</v>
      </c>
      <c r="F24" s="3">
        <f t="shared" si="0"/>
        <v>-6.3371043911260188</v>
      </c>
      <c r="G24" s="3">
        <f t="shared" si="1"/>
        <v>-177.43892295152853</v>
      </c>
      <c r="H24" s="3">
        <f t="shared" si="2"/>
        <v>2.0134810671591605</v>
      </c>
      <c r="I24" s="3">
        <f t="shared" si="3"/>
        <v>27.753914193242789</v>
      </c>
    </row>
    <row r="25" spans="1:9" x14ac:dyDescent="0.2">
      <c r="A25">
        <v>20</v>
      </c>
      <c r="B25">
        <v>70</v>
      </c>
      <c r="C25" s="5">
        <f t="shared" si="4"/>
        <v>27.753914193242789</v>
      </c>
      <c r="D25" s="5">
        <f t="shared" si="5"/>
        <v>2.0134810671591605</v>
      </c>
      <c r="E25" s="5">
        <f t="shared" si="6"/>
        <v>68.023535536425996</v>
      </c>
      <c r="F25" s="3">
        <f t="shared" si="0"/>
        <v>-3.9529289271480081</v>
      </c>
      <c r="G25" s="3">
        <f t="shared" si="1"/>
        <v>-79.058578542960163</v>
      </c>
      <c r="H25" s="3">
        <f t="shared" si="2"/>
        <v>2.0327904107551729</v>
      </c>
      <c r="I25" s="3">
        <f t="shared" si="3"/>
        <v>27.807856006144913</v>
      </c>
    </row>
    <row r="26" spans="1:9" x14ac:dyDescent="0.2">
      <c r="A26">
        <v>8</v>
      </c>
      <c r="B26">
        <v>46</v>
      </c>
      <c r="C26" s="5">
        <f t="shared" si="4"/>
        <v>27.807856006144913</v>
      </c>
      <c r="D26" s="5">
        <f t="shared" si="5"/>
        <v>2.0327904107551729</v>
      </c>
      <c r="E26" s="5">
        <f t="shared" si="6"/>
        <v>44.070179292186296</v>
      </c>
      <c r="F26" s="3">
        <f t="shared" si="0"/>
        <v>-3.8596414156274079</v>
      </c>
      <c r="G26" s="3">
        <f t="shared" si="1"/>
        <v>-30.877131325019263</v>
      </c>
      <c r="H26" s="3">
        <f t="shared" si="2"/>
        <v>2.0403318711381218</v>
      </c>
      <c r="I26" s="3">
        <f t="shared" si="3"/>
        <v>27.8605248142485</v>
      </c>
    </row>
    <row r="27" spans="1:9" x14ac:dyDescent="0.2">
      <c r="A27">
        <v>64</v>
      </c>
      <c r="B27">
        <v>158</v>
      </c>
      <c r="C27" s="5">
        <f t="shared" si="4"/>
        <v>27.8605248142485</v>
      </c>
      <c r="D27" s="5">
        <f t="shared" si="5"/>
        <v>2.0403318711381218</v>
      </c>
      <c r="E27" s="5">
        <f t="shared" si="6"/>
        <v>158.44176456708828</v>
      </c>
      <c r="F27" s="3">
        <f t="shared" si="0"/>
        <v>0.88352913417656964</v>
      </c>
      <c r="G27" s="3">
        <f t="shared" si="1"/>
        <v>56.545864587300457</v>
      </c>
      <c r="H27" s="3">
        <f t="shared" si="2"/>
        <v>2.0265210545465173</v>
      </c>
      <c r="I27" s="3">
        <f t="shared" si="3"/>
        <v>27.848468143327345</v>
      </c>
    </row>
    <row r="28" spans="1:9" x14ac:dyDescent="0.2">
      <c r="A28">
        <v>99</v>
      </c>
      <c r="B28">
        <v>228</v>
      </c>
      <c r="C28" s="5">
        <f t="shared" si="4"/>
        <v>27.848468143327345</v>
      </c>
      <c r="D28" s="5">
        <f t="shared" si="5"/>
        <v>2.0265210545465173</v>
      </c>
      <c r="E28" s="5">
        <f t="shared" si="6"/>
        <v>228.47405254343258</v>
      </c>
      <c r="F28" s="3">
        <f t="shared" si="0"/>
        <v>0.94810508686515504</v>
      </c>
      <c r="G28" s="3">
        <f t="shared" si="1"/>
        <v>93.862403599650349</v>
      </c>
      <c r="H28" s="3">
        <f t="shared" si="2"/>
        <v>2.0035960104177719</v>
      </c>
      <c r="I28" s="3">
        <f t="shared" si="3"/>
        <v>27.835530266590933</v>
      </c>
    </row>
    <row r="29" spans="1:9" x14ac:dyDescent="0.2">
      <c r="A29">
        <v>70</v>
      </c>
      <c r="B29">
        <v>170</v>
      </c>
      <c r="C29" s="5">
        <f t="shared" si="4"/>
        <v>27.835530266590933</v>
      </c>
      <c r="D29" s="5">
        <f t="shared" si="5"/>
        <v>2.0035960104177719</v>
      </c>
      <c r="E29" s="5">
        <f t="shared" si="6"/>
        <v>168.08725099583495</v>
      </c>
      <c r="F29" s="3">
        <f t="shared" si="0"/>
        <v>-3.8254980083301007</v>
      </c>
      <c r="G29" s="3">
        <f t="shared" si="1"/>
        <v>-267.78486058310705</v>
      </c>
      <c r="H29" s="3">
        <f t="shared" si="2"/>
        <v>2.0690000434538542</v>
      </c>
      <c r="I29" s="3">
        <f t="shared" si="3"/>
        <v>27.887733152508154</v>
      </c>
    </row>
    <row r="30" spans="1:9" x14ac:dyDescent="0.2">
      <c r="A30">
        <v>27</v>
      </c>
      <c r="B30">
        <v>84</v>
      </c>
      <c r="C30" s="5">
        <f t="shared" si="4"/>
        <v>27.887733152508154</v>
      </c>
      <c r="D30" s="5">
        <f t="shared" si="5"/>
        <v>2.0690000434538542</v>
      </c>
      <c r="E30" s="5">
        <f t="shared" si="6"/>
        <v>83.75073432576221</v>
      </c>
      <c r="F30" s="3">
        <f t="shared" si="0"/>
        <v>-0.49853134847558067</v>
      </c>
      <c r="G30" s="3">
        <f t="shared" si="1"/>
        <v>-13.460346408840678</v>
      </c>
      <c r="H30" s="3">
        <f t="shared" si="2"/>
        <v>2.0722876114638002</v>
      </c>
      <c r="I30" s="3">
        <f t="shared" si="3"/>
        <v>27.894536129546427</v>
      </c>
    </row>
    <row r="31" spans="1:9" x14ac:dyDescent="0.2">
      <c r="A31">
        <v>17</v>
      </c>
      <c r="B31">
        <v>64</v>
      </c>
      <c r="C31" s="5">
        <f t="shared" si="4"/>
        <v>27.894536129546427</v>
      </c>
      <c r="D31" s="5">
        <f t="shared" si="5"/>
        <v>2.0722876114638002</v>
      </c>
      <c r="E31" s="5">
        <f t="shared" si="6"/>
        <v>63.123425524431028</v>
      </c>
      <c r="F31" s="3">
        <f t="shared" si="0"/>
        <v>-1.7531489511379448</v>
      </c>
      <c r="G31" s="3">
        <f t="shared" si="1"/>
        <v>-29.803532169345061</v>
      </c>
      <c r="H31" s="3">
        <f t="shared" si="2"/>
        <v>2.079566854951842</v>
      </c>
      <c r="I31" s="3">
        <f t="shared" si="3"/>
        <v>27.918459664336634</v>
      </c>
    </row>
    <row r="32" spans="1:9" x14ac:dyDescent="0.2">
      <c r="A32">
        <v>8</v>
      </c>
      <c r="B32">
        <v>46</v>
      </c>
      <c r="C32" s="5">
        <f t="shared" si="4"/>
        <v>27.918459664336634</v>
      </c>
      <c r="D32" s="5">
        <f t="shared" si="5"/>
        <v>2.079566854951842</v>
      </c>
      <c r="E32" s="5">
        <f t="shared" si="6"/>
        <v>44.55499450395137</v>
      </c>
      <c r="F32" s="3">
        <f t="shared" si="0"/>
        <v>-2.8900109920972596</v>
      </c>
      <c r="G32" s="3">
        <f t="shared" si="1"/>
        <v>-23.120087936778077</v>
      </c>
      <c r="H32" s="3">
        <f t="shared" si="2"/>
        <v>2.0852137275641378</v>
      </c>
      <c r="I32" s="3">
        <f t="shared" si="3"/>
        <v>27.957896860171388</v>
      </c>
    </row>
    <row r="33" spans="6:8" x14ac:dyDescent="0.2">
      <c r="F33" s="3">
        <f>SQRT(SUMSQ(F4:F32))/COUNT(F4:F32)</f>
        <v>1.1611397869922755</v>
      </c>
      <c r="G33" s="3">
        <f>SQRT(SUMSQ(G4:G32))/COUNT(G4:G32)</f>
        <v>62.772354897753353</v>
      </c>
      <c r="H33" s="3">
        <f>SUMPRODUCT(histgrad,F2:G2)</f>
        <v>3.1176536655983821E-2</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20"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29.974150425358729</v>
      </c>
      <c r="D1" s="5" t="s">
        <v>14</v>
      </c>
      <c r="I1" t="s">
        <v>24</v>
      </c>
      <c r="J1">
        <v>0.9</v>
      </c>
      <c r="K1">
        <f>1-J1</f>
        <v>9.9999999999999978E-2</v>
      </c>
      <c r="L1">
        <v>0.95</v>
      </c>
      <c r="M1">
        <f>1-L1</f>
        <v>5.0000000000000044E-2</v>
      </c>
    </row>
    <row r="2" spans="1:15" x14ac:dyDescent="0.2">
      <c r="B2" t="s">
        <v>22</v>
      </c>
      <c r="C2" s="5">
        <v>1.929914281062449</v>
      </c>
      <c r="D2">
        <v>1.5625E-2</v>
      </c>
      <c r="F2" s="9"/>
      <c r="G2" s="9"/>
    </row>
    <row r="3" spans="1:15" s="2" customFormat="1" x14ac:dyDescent="0.2">
      <c r="A3" s="2" t="s">
        <v>15</v>
      </c>
      <c r="B3" s="2" t="s">
        <v>16</v>
      </c>
      <c r="C3" s="6" t="s">
        <v>21</v>
      </c>
      <c r="D3" s="6" t="s">
        <v>22</v>
      </c>
      <c r="E3" s="6" t="s">
        <v>18</v>
      </c>
      <c r="F3" s="8" t="s">
        <v>6</v>
      </c>
      <c r="G3" s="8" t="s">
        <v>9</v>
      </c>
      <c r="H3" s="2" t="s">
        <v>13</v>
      </c>
      <c r="I3" s="2" t="s">
        <v>12</v>
      </c>
      <c r="J3">
        <f>J33</f>
        <v>-4.3281475733096162</v>
      </c>
      <c r="K3">
        <f>K33</f>
        <v>-280.55631496032572</v>
      </c>
      <c r="L3">
        <f>L33</f>
        <v>231.81314568509319</v>
      </c>
      <c r="M3">
        <f>M33</f>
        <v>1367726.2037893971</v>
      </c>
      <c r="N3" s="4">
        <v>388.10803344229129</v>
      </c>
      <c r="O3" s="4"/>
    </row>
    <row r="4" spans="1:15" x14ac:dyDescent="0.2">
      <c r="A4">
        <v>14</v>
      </c>
      <c r="B4">
        <v>58</v>
      </c>
      <c r="C4" s="3">
        <f>C1</f>
        <v>29.974150425358729</v>
      </c>
      <c r="D4" s="3">
        <f>C2</f>
        <v>1.929914281062449</v>
      </c>
      <c r="E4" s="3">
        <f>C4+D4*A4</f>
        <v>56.992950360233017</v>
      </c>
      <c r="F4" s="7">
        <f t="shared" ref="F4:F32" si="0">2*(D4*A4+C4-B4)</f>
        <v>-2.0140992795339656</v>
      </c>
      <c r="G4" s="7">
        <f t="shared" ref="G4:G32" si="1">F4*A4</f>
        <v>-28.197389913475519</v>
      </c>
      <c r="H4" s="3">
        <f>C4-J4*$D$2/SQRT(L4)</f>
        <v>29.978461921293906</v>
      </c>
      <c r="I4" s="3">
        <f>D4-K4*$D$2/SQRT(M4)</f>
        <v>1.9334140353174829</v>
      </c>
      <c r="J4">
        <f>J3*$J$1+$K$1*F4</f>
        <v>-4.096742743932051</v>
      </c>
      <c r="K4">
        <f>K3*$J$1+$K$1*G4</f>
        <v>-255.32042245564071</v>
      </c>
      <c r="L4">
        <f t="shared" ref="L4:M19" si="2">L3*$L$1+$M$1*F4^2</f>
        <v>220.42531819622948</v>
      </c>
      <c r="M4">
        <f t="shared" si="2"/>
        <v>1299379.6482398238</v>
      </c>
    </row>
    <row r="5" spans="1:15" x14ac:dyDescent="0.2">
      <c r="A5">
        <v>86</v>
      </c>
      <c r="B5">
        <v>202</v>
      </c>
      <c r="C5" s="3">
        <f>H4</f>
        <v>29.978461921293906</v>
      </c>
      <c r="D5" s="3">
        <f>I4</f>
        <v>1.9334140353174829</v>
      </c>
      <c r="E5" s="3">
        <f>C5+D5*A5</f>
        <v>196.25206895859742</v>
      </c>
      <c r="F5" s="7">
        <f t="shared" si="0"/>
        <v>-11.495862082805161</v>
      </c>
      <c r="G5" s="7">
        <f t="shared" si="1"/>
        <v>-988.64413912124382</v>
      </c>
      <c r="H5" s="3">
        <f>C5-J5*$D$2/SQRT(L5)</f>
        <v>29.982381708546232</v>
      </c>
      <c r="I5" s="3">
        <f t="shared" ref="H5:I32" si="3">D5-K5*$D$2/SQRT(M5)</f>
        <v>1.9379471466305058</v>
      </c>
      <c r="J5">
        <f>J4*$J$1+$K$1*Intro!F5</f>
        <v>-3.687068469538846</v>
      </c>
      <c r="K5">
        <f t="shared" ref="J5:K20" si="4">K4*$J$1+$K$1*G5</f>
        <v>-328.65279412220099</v>
      </c>
      <c r="L5">
        <f t="shared" si="2"/>
        <v>216.01179453776186</v>
      </c>
      <c r="M5">
        <f t="shared" si="2"/>
        <v>1283281.5275187718</v>
      </c>
    </row>
    <row r="6" spans="1:15" x14ac:dyDescent="0.2">
      <c r="A6">
        <v>28</v>
      </c>
      <c r="B6">
        <v>86</v>
      </c>
      <c r="C6" s="3">
        <f>H5</f>
        <v>29.982381708546232</v>
      </c>
      <c r="D6" s="3">
        <f>I5</f>
        <v>1.9379471466305058</v>
      </c>
      <c r="E6" s="3">
        <f>C6+D6*A6</f>
        <v>84.244901814200389</v>
      </c>
      <c r="F6" s="7">
        <f>2*(D6*A6+C6-B6)</f>
        <v>-3.5101963715992213</v>
      </c>
      <c r="G6" s="7">
        <f>F6*A6</f>
        <v>-98.285498404778195</v>
      </c>
      <c r="H6" s="3">
        <f>C6-J6*$D$2/SQRT(L6)</f>
        <v>29.986378039054792</v>
      </c>
      <c r="I6" s="3">
        <f t="shared" si="3"/>
        <v>1.9422711638668504</v>
      </c>
      <c r="J6">
        <f t="shared" si="4"/>
        <v>-3.6693812597448838</v>
      </c>
      <c r="K6">
        <f t="shared" si="4"/>
        <v>-305.6160645504587</v>
      </c>
      <c r="L6">
        <f t="shared" si="2"/>
        <v>205.82727873923318</v>
      </c>
      <c r="M6">
        <f t="shared" si="2"/>
        <v>1219600.4531026669</v>
      </c>
    </row>
    <row r="7" spans="1:15" x14ac:dyDescent="0.2">
      <c r="A7">
        <v>51</v>
      </c>
      <c r="B7">
        <v>132</v>
      </c>
      <c r="C7" s="3">
        <f t="shared" ref="C7:D32" si="5">H6</f>
        <v>29.986378039054792</v>
      </c>
      <c r="D7" s="3">
        <f t="shared" si="5"/>
        <v>1.9422711638668504</v>
      </c>
      <c r="E7" s="3">
        <f t="shared" ref="E7:E32" si="6">C7+D7*A7</f>
        <v>129.04220739626416</v>
      </c>
      <c r="F7" s="7">
        <f t="shared" si="0"/>
        <v>-5.915585207471679</v>
      </c>
      <c r="G7" s="7">
        <f t="shared" si="1"/>
        <v>-301.69484558105563</v>
      </c>
      <c r="H7" s="3">
        <f t="shared" si="3"/>
        <v>29.990709839481884</v>
      </c>
      <c r="I7" s="3">
        <f t="shared" si="3"/>
        <v>1.946693143751963</v>
      </c>
      <c r="J7">
        <f t="shared" si="4"/>
        <v>-3.8940016545175631</v>
      </c>
      <c r="K7">
        <f t="shared" si="4"/>
        <v>-305.22394265351841</v>
      </c>
      <c r="L7">
        <f t="shared" si="2"/>
        <v>197.2856222196144</v>
      </c>
      <c r="M7">
        <f t="shared" si="2"/>
        <v>1163171.4194400425</v>
      </c>
    </row>
    <row r="8" spans="1:15" x14ac:dyDescent="0.2">
      <c r="A8">
        <v>28</v>
      </c>
      <c r="B8">
        <v>86</v>
      </c>
      <c r="C8" s="3">
        <f t="shared" si="5"/>
        <v>29.990709839481884</v>
      </c>
      <c r="D8" s="3">
        <f t="shared" si="5"/>
        <v>1.946693143751963</v>
      </c>
      <c r="E8" s="3">
        <f t="shared" si="6"/>
        <v>84.498117864536852</v>
      </c>
      <c r="F8" s="7">
        <f t="shared" si="0"/>
        <v>-3.0037642709262968</v>
      </c>
      <c r="G8" s="7">
        <f t="shared" si="1"/>
        <v>-84.105399585936311</v>
      </c>
      <c r="H8" s="3">
        <f t="shared" si="3"/>
        <v>29.995047350516636</v>
      </c>
      <c r="I8" s="3">
        <f t="shared" si="3"/>
        <v>1.9509006549777443</v>
      </c>
      <c r="J8">
        <f t="shared" si="4"/>
        <v>-3.8049779161584367</v>
      </c>
      <c r="K8">
        <f t="shared" si="4"/>
        <v>-283.11208834676023</v>
      </c>
      <c r="L8">
        <f t="shared" si="2"/>
        <v>187.87247109839834</v>
      </c>
      <c r="M8">
        <f t="shared" si="2"/>
        <v>1105366.5343800159</v>
      </c>
    </row>
    <row r="9" spans="1:15" x14ac:dyDescent="0.2">
      <c r="A9">
        <v>29</v>
      </c>
      <c r="B9">
        <v>88</v>
      </c>
      <c r="C9" s="3">
        <f t="shared" si="5"/>
        <v>29.995047350516636</v>
      </c>
      <c r="D9" s="3">
        <f t="shared" si="5"/>
        <v>1.9509006549777443</v>
      </c>
      <c r="E9" s="3">
        <f t="shared" si="6"/>
        <v>86.571166344871216</v>
      </c>
      <c r="F9" s="7">
        <f t="shared" si="0"/>
        <v>-2.8576673102575683</v>
      </c>
      <c r="G9" s="7">
        <f t="shared" si="1"/>
        <v>-82.87235199746948</v>
      </c>
      <c r="H9" s="3">
        <f t="shared" si="3"/>
        <v>29.999381793018699</v>
      </c>
      <c r="I9" s="3">
        <f t="shared" si="3"/>
        <v>1.9549114946200907</v>
      </c>
      <c r="J9">
        <f t="shared" si="4"/>
        <v>-3.7102468555683501</v>
      </c>
      <c r="K9">
        <f t="shared" si="4"/>
        <v>-263.08811471183117</v>
      </c>
      <c r="L9">
        <f t="shared" si="2"/>
        <v>178.88716066628416</v>
      </c>
      <c r="M9">
        <f t="shared" si="2"/>
        <v>1050441.5989972947</v>
      </c>
    </row>
    <row r="10" spans="1:15" x14ac:dyDescent="0.2">
      <c r="A10">
        <v>72</v>
      </c>
      <c r="B10">
        <v>174</v>
      </c>
      <c r="C10" s="3">
        <f t="shared" si="5"/>
        <v>29.999381793018699</v>
      </c>
      <c r="D10" s="3">
        <f t="shared" si="5"/>
        <v>1.9549114946200907</v>
      </c>
      <c r="E10" s="3">
        <f t="shared" si="6"/>
        <v>170.75300940566524</v>
      </c>
      <c r="F10" s="7">
        <f t="shared" si="0"/>
        <v>-6.4939811886695225</v>
      </c>
      <c r="G10" s="7">
        <f t="shared" si="1"/>
        <v>-467.56664558420562</v>
      </c>
      <c r="H10" s="3">
        <f t="shared" si="3"/>
        <v>30.004133105835727</v>
      </c>
      <c r="I10" s="3">
        <f t="shared" si="3"/>
        <v>1.9593222684530969</v>
      </c>
      <c r="J10">
        <f t="shared" si="4"/>
        <v>-3.988620288878467</v>
      </c>
      <c r="K10">
        <f t="shared" si="4"/>
        <v>-283.5359677990686</v>
      </c>
      <c r="L10">
        <f t="shared" si="2"/>
        <v>172.05139221690962</v>
      </c>
      <c r="M10">
        <f t="shared" si="2"/>
        <v>1008850.4474505732</v>
      </c>
    </row>
    <row r="11" spans="1:15" x14ac:dyDescent="0.2">
      <c r="A11">
        <v>62</v>
      </c>
      <c r="B11">
        <v>154</v>
      </c>
      <c r="C11" s="3">
        <f t="shared" si="5"/>
        <v>30.004133105835727</v>
      </c>
      <c r="D11" s="3">
        <f t="shared" si="5"/>
        <v>1.9593222684530969</v>
      </c>
      <c r="E11" s="3">
        <f t="shared" si="6"/>
        <v>151.48211374992772</v>
      </c>
      <c r="F11" s="7">
        <f t="shared" si="0"/>
        <v>-5.0357725001445601</v>
      </c>
      <c r="G11" s="7">
        <f t="shared" si="1"/>
        <v>-312.21789500896273</v>
      </c>
      <c r="H11" s="3">
        <f t="shared" si="3"/>
        <v>30.009116536917595</v>
      </c>
      <c r="I11" s="3">
        <f t="shared" si="3"/>
        <v>1.9638818253847012</v>
      </c>
      <c r="J11">
        <f t="shared" si="4"/>
        <v>-4.0933355100050761</v>
      </c>
      <c r="K11">
        <f t="shared" si="4"/>
        <v>-286.40416052005799</v>
      </c>
      <c r="L11">
        <f t="shared" si="2"/>
        <v>164.71677283972474</v>
      </c>
      <c r="M11">
        <f t="shared" si="2"/>
        <v>963281.92577623588</v>
      </c>
    </row>
    <row r="12" spans="1:15" x14ac:dyDescent="0.2">
      <c r="A12">
        <v>84</v>
      </c>
      <c r="B12">
        <v>198</v>
      </c>
      <c r="C12" s="3">
        <f t="shared" si="5"/>
        <v>30.009116536917595</v>
      </c>
      <c r="D12" s="3">
        <f t="shared" si="5"/>
        <v>1.9638818253847012</v>
      </c>
      <c r="E12" s="3">
        <f t="shared" si="6"/>
        <v>194.97518986923248</v>
      </c>
      <c r="F12" s="7">
        <f t="shared" si="0"/>
        <v>-6.0496202615350398</v>
      </c>
      <c r="G12" s="7">
        <f t="shared" si="1"/>
        <v>-508.16810196894335</v>
      </c>
      <c r="H12" s="3">
        <f t="shared" si="3"/>
        <v>30.014442732539443</v>
      </c>
      <c r="I12" s="3">
        <f t="shared" si="3"/>
        <v>1.9688868667829427</v>
      </c>
      <c r="J12">
        <f t="shared" si="4"/>
        <v>-4.2889639851580723</v>
      </c>
      <c r="K12">
        <f t="shared" si="4"/>
        <v>-308.58055466494653</v>
      </c>
      <c r="L12">
        <f t="shared" si="2"/>
        <v>158.31082946317727</v>
      </c>
      <c r="M12">
        <f t="shared" si="2"/>
        <v>928029.57048035995</v>
      </c>
    </row>
    <row r="13" spans="1:15" x14ac:dyDescent="0.2">
      <c r="A13">
        <v>15</v>
      </c>
      <c r="B13">
        <v>60</v>
      </c>
      <c r="C13" s="3">
        <f t="shared" si="5"/>
        <v>30.014442732539443</v>
      </c>
      <c r="D13" s="3">
        <f t="shared" si="5"/>
        <v>1.9688868667829427</v>
      </c>
      <c r="E13" s="3">
        <f t="shared" si="6"/>
        <v>59.547745734283581</v>
      </c>
      <c r="F13" s="7">
        <f t="shared" si="0"/>
        <v>-0.90450853143283894</v>
      </c>
      <c r="G13" s="7">
        <f t="shared" si="1"/>
        <v>-13.567627971492584</v>
      </c>
      <c r="H13" s="3">
        <f t="shared" si="3"/>
        <v>30.019475396693799</v>
      </c>
      <c r="I13" s="3">
        <f t="shared" si="3"/>
        <v>1.9735309780347887</v>
      </c>
      <c r="J13">
        <f t="shared" si="4"/>
        <v>-3.9505184397855491</v>
      </c>
      <c r="K13">
        <f t="shared" si="4"/>
        <v>-279.07926199560114</v>
      </c>
      <c r="L13">
        <f t="shared" si="2"/>
        <v>150.43619477419014</v>
      </c>
      <c r="M13">
        <f t="shared" si="2"/>
        <v>881637.29598278052</v>
      </c>
    </row>
    <row r="14" spans="1:15" x14ac:dyDescent="0.2">
      <c r="A14">
        <v>42</v>
      </c>
      <c r="B14">
        <v>114</v>
      </c>
      <c r="C14" s="3">
        <f t="shared" si="5"/>
        <v>30.019475396693799</v>
      </c>
      <c r="D14" s="3">
        <f t="shared" si="5"/>
        <v>1.9735309780347887</v>
      </c>
      <c r="E14" s="3">
        <f t="shared" si="6"/>
        <v>112.90777647415493</v>
      </c>
      <c r="F14" s="7">
        <f t="shared" si="0"/>
        <v>-2.1844470516901424</v>
      </c>
      <c r="G14" s="7">
        <f t="shared" si="1"/>
        <v>-91.746776170985981</v>
      </c>
      <c r="H14" s="3">
        <f t="shared" si="3"/>
        <v>30.024403859971532</v>
      </c>
      <c r="I14" s="3">
        <f t="shared" si="3"/>
        <v>1.9779747840112289</v>
      </c>
      <c r="J14">
        <f t="shared" si="4"/>
        <v>-3.7739113009760086</v>
      </c>
      <c r="K14">
        <f t="shared" si="4"/>
        <v>-260.34601341313964</v>
      </c>
      <c r="L14">
        <f t="shared" si="2"/>
        <v>143.15297548156252</v>
      </c>
      <c r="M14">
        <f t="shared" si="2"/>
        <v>837976.3047305299</v>
      </c>
    </row>
    <row r="15" spans="1:15" x14ac:dyDescent="0.2">
      <c r="A15">
        <v>62</v>
      </c>
      <c r="B15">
        <v>154</v>
      </c>
      <c r="C15" s="3">
        <f t="shared" si="5"/>
        <v>30.024403859971532</v>
      </c>
      <c r="D15" s="3">
        <f>I14</f>
        <v>1.9779747840112289</v>
      </c>
      <c r="E15" s="3">
        <f t="shared" si="6"/>
        <v>152.65884046866773</v>
      </c>
      <c r="F15" s="7">
        <f t="shared" si="0"/>
        <v>-2.6823190626645328</v>
      </c>
      <c r="G15" s="7">
        <f t="shared" si="1"/>
        <v>-166.30378188520103</v>
      </c>
      <c r="H15" s="3">
        <f t="shared" si="3"/>
        <v>30.029307617442178</v>
      </c>
      <c r="I15" s="3">
        <f t="shared" si="3"/>
        <v>1.9823655316058828</v>
      </c>
      <c r="J15">
        <f t="shared" si="4"/>
        <v>-3.6647520771448607</v>
      </c>
      <c r="K15">
        <f t="shared" si="4"/>
        <v>-250.94179026034578</v>
      </c>
      <c r="L15">
        <f t="shared" si="2"/>
        <v>136.35506848518108</v>
      </c>
      <c r="M15">
        <f t="shared" si="2"/>
        <v>797460.3368874694</v>
      </c>
    </row>
    <row r="16" spans="1:15" x14ac:dyDescent="0.2">
      <c r="A16">
        <v>47</v>
      </c>
      <c r="B16">
        <v>124</v>
      </c>
      <c r="C16" s="3">
        <f t="shared" si="5"/>
        <v>30.029307617442178</v>
      </c>
      <c r="D16" s="3">
        <f t="shared" si="5"/>
        <v>1.9823655316058828</v>
      </c>
      <c r="E16" s="3">
        <f t="shared" si="6"/>
        <v>123.20048760291866</v>
      </c>
      <c r="F16" s="7">
        <f t="shared" si="0"/>
        <v>-1.5990247941626876</v>
      </c>
      <c r="G16" s="7">
        <f t="shared" si="1"/>
        <v>-75.154165325646318</v>
      </c>
      <c r="H16" s="3">
        <f t="shared" si="3"/>
        <v>30.034052832396853</v>
      </c>
      <c r="I16" s="3">
        <f t="shared" si="3"/>
        <v>1.9865539957020761</v>
      </c>
      <c r="J16">
        <f t="shared" si="4"/>
        <v>-3.4581793488466435</v>
      </c>
      <c r="K16">
        <f t="shared" si="4"/>
        <v>-233.36302776687586</v>
      </c>
      <c r="L16">
        <f t="shared" si="2"/>
        <v>129.66515907553938</v>
      </c>
      <c r="M16">
        <f t="shared" si="2"/>
        <v>757869.72747138562</v>
      </c>
    </row>
    <row r="17" spans="1:13" x14ac:dyDescent="0.2">
      <c r="A17">
        <v>35</v>
      </c>
      <c r="B17">
        <v>100</v>
      </c>
      <c r="C17" s="3">
        <f t="shared" si="5"/>
        <v>30.034052832396853</v>
      </c>
      <c r="D17" s="3">
        <f t="shared" si="5"/>
        <v>1.9865539957020761</v>
      </c>
      <c r="E17" s="3">
        <f t="shared" si="6"/>
        <v>99.563442681969519</v>
      </c>
      <c r="F17" s="7">
        <f t="shared" si="0"/>
        <v>-0.8731146360609614</v>
      </c>
      <c r="G17" s="7">
        <f t="shared" si="1"/>
        <v>-30.559012262133649</v>
      </c>
      <c r="H17" s="3">
        <f t="shared" si="3"/>
        <v>30.038556693335639</v>
      </c>
      <c r="I17" s="3">
        <f t="shared" si="3"/>
        <v>1.9904776876387842</v>
      </c>
      <c r="J17">
        <f t="shared" si="4"/>
        <v>-3.1996728775680756</v>
      </c>
      <c r="K17">
        <f t="shared" si="4"/>
        <v>-213.08262621640165</v>
      </c>
      <c r="L17">
        <f t="shared" si="2"/>
        <v>123.2200175801476</v>
      </c>
      <c r="M17">
        <f t="shared" si="2"/>
        <v>720022.93375933811</v>
      </c>
    </row>
    <row r="18" spans="1:13" x14ac:dyDescent="0.2">
      <c r="A18">
        <v>9</v>
      </c>
      <c r="B18">
        <v>48</v>
      </c>
      <c r="C18" s="3">
        <f t="shared" si="5"/>
        <v>30.038556693335639</v>
      </c>
      <c r="D18" s="3">
        <f t="shared" si="5"/>
        <v>1.9904776876387842</v>
      </c>
      <c r="E18" s="3">
        <f t="shared" si="6"/>
        <v>47.952855882084698</v>
      </c>
      <c r="F18" s="7">
        <f t="shared" si="0"/>
        <v>-9.4288235830603639E-2</v>
      </c>
      <c r="G18" s="7">
        <f t="shared" si="1"/>
        <v>-0.84859412247543275</v>
      </c>
      <c r="H18" s="3">
        <f t="shared" si="3"/>
        <v>30.042729079656546</v>
      </c>
      <c r="I18" s="3">
        <f t="shared" si="3"/>
        <v>1.9941023514222742</v>
      </c>
      <c r="J18">
        <f t="shared" si="4"/>
        <v>-2.8891344133943284</v>
      </c>
      <c r="K18">
        <f t="shared" si="4"/>
        <v>-191.85922300700904</v>
      </c>
      <c r="L18">
        <f t="shared" si="2"/>
        <v>117.05946121471101</v>
      </c>
      <c r="M18">
        <f t="shared" si="2"/>
        <v>684021.82307697041</v>
      </c>
    </row>
    <row r="19" spans="1:13" x14ac:dyDescent="0.2">
      <c r="A19">
        <v>38</v>
      </c>
      <c r="B19">
        <v>106</v>
      </c>
      <c r="C19" s="3">
        <f t="shared" si="5"/>
        <v>30.042729079656546</v>
      </c>
      <c r="D19" s="3">
        <f t="shared" si="5"/>
        <v>1.9941023514222742</v>
      </c>
      <c r="E19" s="3">
        <f t="shared" si="6"/>
        <v>105.81861843370297</v>
      </c>
      <c r="F19" s="7">
        <f t="shared" si="0"/>
        <v>-0.36276313259406834</v>
      </c>
      <c r="G19" s="7">
        <f t="shared" si="1"/>
        <v>-13.784999038574597</v>
      </c>
      <c r="H19" s="3">
        <f t="shared" si="3"/>
        <v>30.046635414286236</v>
      </c>
      <c r="I19" s="3">
        <f t="shared" si="3"/>
        <v>1.9974759902785404</v>
      </c>
      <c r="J19">
        <f t="shared" si="4"/>
        <v>-2.6364972853143023</v>
      </c>
      <c r="K19">
        <f t="shared" si="4"/>
        <v>-174.0518006101656</v>
      </c>
      <c r="L19">
        <f t="shared" si="2"/>
        <v>111.21306800849393</v>
      </c>
      <c r="M19">
        <f t="shared" si="2"/>
        <v>649830.23323304649</v>
      </c>
    </row>
    <row r="20" spans="1:13" x14ac:dyDescent="0.2">
      <c r="A20">
        <v>44</v>
      </c>
      <c r="B20">
        <v>118</v>
      </c>
      <c r="C20" s="3">
        <f t="shared" si="5"/>
        <v>30.046635414286236</v>
      </c>
      <c r="D20" s="3">
        <f t="shared" si="5"/>
        <v>1.9974759902785404</v>
      </c>
      <c r="E20" s="3">
        <f t="shared" si="6"/>
        <v>117.93557898654203</v>
      </c>
      <c r="F20" s="7">
        <f t="shared" si="0"/>
        <v>-0.12884202691594737</v>
      </c>
      <c r="G20" s="7">
        <f t="shared" si="1"/>
        <v>-5.6690491843016844</v>
      </c>
      <c r="H20" s="3">
        <f t="shared" si="3"/>
        <v>30.05026201897449</v>
      </c>
      <c r="I20" s="3">
        <f t="shared" si="3"/>
        <v>2.0006024123528117</v>
      </c>
      <c r="J20">
        <f t="shared" si="4"/>
        <v>-2.3857317594744667</v>
      </c>
      <c r="K20">
        <f t="shared" si="4"/>
        <v>-157.21352546757922</v>
      </c>
      <c r="L20">
        <f t="shared" ref="L20:M32" si="7">L19*$L$1+$M$1*F20^2</f>
        <v>105.65324462146422</v>
      </c>
      <c r="M20">
        <f t="shared" si="7"/>
        <v>617340.32847732678</v>
      </c>
    </row>
    <row r="21" spans="1:13" x14ac:dyDescent="0.2">
      <c r="A21">
        <v>99</v>
      </c>
      <c r="B21">
        <v>228</v>
      </c>
      <c r="C21" s="3">
        <f t="shared" si="5"/>
        <v>30.05026201897449</v>
      </c>
      <c r="D21" s="3">
        <f t="shared" si="5"/>
        <v>2.0006024123528117</v>
      </c>
      <c r="E21" s="3">
        <f t="shared" si="6"/>
        <v>228.10990084190283</v>
      </c>
      <c r="F21" s="7">
        <f t="shared" si="0"/>
        <v>0.21980168380565601</v>
      </c>
      <c r="G21" s="7">
        <f t="shared" si="1"/>
        <v>21.760366696759945</v>
      </c>
      <c r="H21" s="3">
        <f t="shared" si="3"/>
        <v>30.053576434648935</v>
      </c>
      <c r="I21" s="3">
        <f t="shared" si="3"/>
        <v>2.0034448343433371</v>
      </c>
      <c r="J21">
        <f t="shared" ref="J21:K32" si="8">J20*$J$1+$K$1*F21</f>
        <v>-2.1251784151464546</v>
      </c>
      <c r="K21">
        <f t="shared" si="8"/>
        <v>-139.31613625114531</v>
      </c>
      <c r="L21">
        <f t="shared" si="7"/>
        <v>100.3729980294012</v>
      </c>
      <c r="M21">
        <f t="shared" si="7"/>
        <v>586496.98773139925</v>
      </c>
    </row>
    <row r="22" spans="1:13" x14ac:dyDescent="0.2">
      <c r="A22">
        <v>13</v>
      </c>
      <c r="B22">
        <v>56</v>
      </c>
      <c r="C22" s="3">
        <f t="shared" si="5"/>
        <v>30.053576434648935</v>
      </c>
      <c r="D22" s="3">
        <f t="shared" si="5"/>
        <v>2.0034448343433371</v>
      </c>
      <c r="E22" s="3">
        <f t="shared" si="6"/>
        <v>56.098359281112316</v>
      </c>
      <c r="F22" s="7">
        <f t="shared" si="0"/>
        <v>0.19671856222463191</v>
      </c>
      <c r="G22" s="7">
        <f t="shared" si="1"/>
        <v>2.5573413089202148</v>
      </c>
      <c r="H22" s="3">
        <f t="shared" si="3"/>
        <v>30.056605393647004</v>
      </c>
      <c r="I22" s="3">
        <f t="shared" si="3"/>
        <v>2.0060641174546712</v>
      </c>
      <c r="J22">
        <f t="shared" si="8"/>
        <v>-1.892988717409346</v>
      </c>
      <c r="K22">
        <f t="shared" si="8"/>
        <v>-125.12878849513876</v>
      </c>
      <c r="L22">
        <f t="shared" si="7"/>
        <v>95.356283037567323</v>
      </c>
      <c r="M22">
        <f t="shared" si="7"/>
        <v>557172.46534455777</v>
      </c>
    </row>
    <row r="23" spans="1:13" x14ac:dyDescent="0.2">
      <c r="A23">
        <v>21</v>
      </c>
      <c r="B23">
        <v>72</v>
      </c>
      <c r="C23" s="3">
        <f t="shared" si="5"/>
        <v>30.056605393647004</v>
      </c>
      <c r="D23" s="3">
        <f t="shared" si="5"/>
        <v>2.0060641174546712</v>
      </c>
      <c r="E23" s="3">
        <f t="shared" si="6"/>
        <v>72.183951860195094</v>
      </c>
      <c r="F23" s="7">
        <f t="shared" si="0"/>
        <v>0.36790372039018848</v>
      </c>
      <c r="G23" s="7">
        <f t="shared" si="1"/>
        <v>7.7259781281939581</v>
      </c>
      <c r="H23" s="3">
        <f t="shared" si="3"/>
        <v>30.059341775828901</v>
      </c>
      <c r="I23" s="3">
        <f t="shared" si="3"/>
        <v>2.0084661129831658</v>
      </c>
      <c r="J23">
        <f t="shared" si="8"/>
        <v>-1.6668994736293927</v>
      </c>
      <c r="K23">
        <f t="shared" si="8"/>
        <v>-111.8433118328055</v>
      </c>
      <c r="L23">
        <f t="shared" si="7"/>
        <v>90.595236543062796</v>
      </c>
      <c r="M23">
        <f t="shared" si="7"/>
        <v>529316.82661423169</v>
      </c>
    </row>
    <row r="24" spans="1:13" x14ac:dyDescent="0.2">
      <c r="A24">
        <v>28</v>
      </c>
      <c r="B24">
        <v>86</v>
      </c>
      <c r="C24" s="3">
        <f t="shared" si="5"/>
        <v>30.059341775828901</v>
      </c>
      <c r="D24" s="3">
        <f t="shared" si="5"/>
        <v>2.0084661129831658</v>
      </c>
      <c r="E24" s="3">
        <f t="shared" si="6"/>
        <v>86.296392939357546</v>
      </c>
      <c r="F24" s="7">
        <f t="shared" si="0"/>
        <v>0.59278587871509103</v>
      </c>
      <c r="G24" s="7">
        <f t="shared" si="1"/>
        <v>16.598004604022549</v>
      </c>
      <c r="H24" s="3">
        <f t="shared" si="3"/>
        <v>30.061768410415077</v>
      </c>
      <c r="I24" s="3">
        <f t="shared" si="3"/>
        <v>2.0106474663437073</v>
      </c>
      <c r="J24">
        <f t="shared" si="8"/>
        <v>-1.4409309383949442</v>
      </c>
      <c r="K24">
        <f t="shared" si="8"/>
        <v>-98.999180189122697</v>
      </c>
      <c r="L24">
        <f t="shared" si="7"/>
        <v>86.083044470809867</v>
      </c>
      <c r="M24">
        <f t="shared" si="7"/>
        <v>502864.75997136184</v>
      </c>
    </row>
    <row r="25" spans="1:13" x14ac:dyDescent="0.2">
      <c r="A25">
        <v>20</v>
      </c>
      <c r="B25">
        <v>70</v>
      </c>
      <c r="C25" s="3">
        <f t="shared" si="5"/>
        <v>30.061768410415077</v>
      </c>
      <c r="D25" s="3">
        <f t="shared" si="5"/>
        <v>2.0106474663437073</v>
      </c>
      <c r="E25" s="3">
        <f t="shared" si="6"/>
        <v>70.274717737289222</v>
      </c>
      <c r="F25" s="7">
        <f t="shared" si="0"/>
        <v>0.54943547457844488</v>
      </c>
      <c r="G25" s="7">
        <f t="shared" si="1"/>
        <v>10.988709491568898</v>
      </c>
      <c r="H25" s="3">
        <f t="shared" si="3"/>
        <v>30.063913986756937</v>
      </c>
      <c r="I25" s="3">
        <f t="shared" si="3"/>
        <v>2.0126368313805005</v>
      </c>
      <c r="J25">
        <f t="shared" si="8"/>
        <v>-1.2418942970976052</v>
      </c>
      <c r="K25">
        <f t="shared" si="8"/>
        <v>-88.000391221053533</v>
      </c>
      <c r="L25">
        <f t="shared" si="7"/>
        <v>81.793986214305633</v>
      </c>
      <c r="M25">
        <f t="shared" si="7"/>
        <v>477727.55955960823</v>
      </c>
    </row>
    <row r="26" spans="1:13" x14ac:dyDescent="0.2">
      <c r="A26">
        <v>8</v>
      </c>
      <c r="B26">
        <v>46</v>
      </c>
      <c r="C26" s="3">
        <f t="shared" si="5"/>
        <v>30.063913986756937</v>
      </c>
      <c r="D26" s="3">
        <f t="shared" si="5"/>
        <v>2.0126368313805005</v>
      </c>
      <c r="E26" s="3">
        <f t="shared" si="6"/>
        <v>46.165008637800938</v>
      </c>
      <c r="F26" s="7">
        <f t="shared" si="0"/>
        <v>0.33001727560187533</v>
      </c>
      <c r="G26" s="7">
        <f t="shared" si="1"/>
        <v>2.6401382048150026</v>
      </c>
      <c r="H26" s="3">
        <f t="shared" si="3"/>
        <v>30.06583660569731</v>
      </c>
      <c r="I26" s="3">
        <f t="shared" si="3"/>
        <v>2.0144676481637536</v>
      </c>
      <c r="J26">
        <f t="shared" si="8"/>
        <v>-1.0847031398276572</v>
      </c>
      <c r="K26">
        <f t="shared" si="8"/>
        <v>-78.936338278466692</v>
      </c>
      <c r="L26">
        <f t="shared" si="7"/>
        <v>77.709732473700129</v>
      </c>
      <c r="M26">
        <f t="shared" si="7"/>
        <v>453841.53009811486</v>
      </c>
    </row>
    <row r="27" spans="1:13" x14ac:dyDescent="0.2">
      <c r="A27">
        <v>64</v>
      </c>
      <c r="B27">
        <v>158</v>
      </c>
      <c r="C27" s="3">
        <f t="shared" si="5"/>
        <v>30.06583660569731</v>
      </c>
      <c r="D27" s="3">
        <f t="shared" si="5"/>
        <v>2.0144676481637536</v>
      </c>
      <c r="E27" s="3">
        <f t="shared" si="6"/>
        <v>158.99176608817754</v>
      </c>
      <c r="F27" s="7">
        <f t="shared" si="0"/>
        <v>1.9835321763550837</v>
      </c>
      <c r="G27" s="7">
        <f t="shared" si="1"/>
        <v>126.94605928672536</v>
      </c>
      <c r="H27" s="3">
        <f t="shared" si="3"/>
        <v>30.067249322267003</v>
      </c>
      <c r="I27" s="3">
        <f t="shared" si="3"/>
        <v>2.0158548107634253</v>
      </c>
      <c r="J27">
        <f t="shared" si="8"/>
        <v>-0.77787960820938307</v>
      </c>
      <c r="K27">
        <f t="shared" si="8"/>
        <v>-58.348098521947492</v>
      </c>
      <c r="L27">
        <f t="shared" si="7"/>
        <v>74.020965844746911</v>
      </c>
      <c r="M27">
        <f t="shared" si="7"/>
        <v>431955.21869163052</v>
      </c>
    </row>
    <row r="28" spans="1:13" x14ac:dyDescent="0.2">
      <c r="A28">
        <v>99</v>
      </c>
      <c r="B28">
        <v>228</v>
      </c>
      <c r="C28" s="3">
        <f t="shared" si="5"/>
        <v>30.067249322267003</v>
      </c>
      <c r="D28" s="3">
        <f t="shared" si="5"/>
        <v>2.0158548107634253</v>
      </c>
      <c r="E28" s="3">
        <f t="shared" si="6"/>
        <v>229.63687558784611</v>
      </c>
      <c r="F28" s="7">
        <f t="shared" si="0"/>
        <v>3.2737511756922117</v>
      </c>
      <c r="G28" s="7">
        <f t="shared" si="1"/>
        <v>324.10136639352896</v>
      </c>
      <c r="H28" s="3">
        <f t="shared" si="3"/>
        <v>30.067941170773956</v>
      </c>
      <c r="I28" s="3">
        <f t="shared" si="3"/>
        <v>2.0163420490729802</v>
      </c>
      <c r="J28">
        <f t="shared" si="8"/>
        <v>-0.37271652981922365</v>
      </c>
      <c r="K28">
        <f t="shared" si="8"/>
        <v>-20.103152030399855</v>
      </c>
      <c r="L28">
        <f t="shared" si="7"/>
        <v>70.855789890526879</v>
      </c>
      <c r="M28">
        <f t="shared" si="7"/>
        <v>415609.54254195659</v>
      </c>
    </row>
    <row r="29" spans="1:13" x14ac:dyDescent="0.2">
      <c r="A29">
        <v>70</v>
      </c>
      <c r="B29">
        <v>170</v>
      </c>
      <c r="C29" s="3">
        <f t="shared" si="5"/>
        <v>30.067941170773956</v>
      </c>
      <c r="D29" s="3">
        <f t="shared" si="5"/>
        <v>2.0163420490729802</v>
      </c>
      <c r="E29" s="3">
        <f t="shared" si="6"/>
        <v>171.21188460588257</v>
      </c>
      <c r="F29" s="7">
        <f t="shared" si="0"/>
        <v>2.4237692117651477</v>
      </c>
      <c r="G29" s="7">
        <f t="shared" si="1"/>
        <v>169.66384482356034</v>
      </c>
      <c r="H29" s="3">
        <f t="shared" si="3"/>
        <v>30.068118028983715</v>
      </c>
      <c r="I29" s="3">
        <f t="shared" si="3"/>
        <v>2.0163700091364327</v>
      </c>
      <c r="J29">
        <f t="shared" si="8"/>
        <v>-9.3067955660786572E-2</v>
      </c>
      <c r="K29">
        <f t="shared" si="8"/>
        <v>-1.1264523450038411</v>
      </c>
      <c r="L29">
        <f t="shared" si="7"/>
        <v>67.606733255595572</v>
      </c>
      <c r="M29">
        <f t="shared" si="7"/>
        <v>396268.35642687441</v>
      </c>
    </row>
    <row r="30" spans="1:13" x14ac:dyDescent="0.2">
      <c r="A30">
        <v>27</v>
      </c>
      <c r="B30">
        <v>84</v>
      </c>
      <c r="C30" s="3">
        <f t="shared" si="5"/>
        <v>30.068118028983715</v>
      </c>
      <c r="D30" s="3">
        <f t="shared" si="5"/>
        <v>2.0163700091364327</v>
      </c>
      <c r="E30" s="3">
        <f t="shared" si="6"/>
        <v>84.510108275667392</v>
      </c>
      <c r="F30" s="7">
        <f t="shared" si="0"/>
        <v>1.0202165513347836</v>
      </c>
      <c r="G30" s="7">
        <f t="shared" si="1"/>
        <v>27.545846886039158</v>
      </c>
      <c r="H30" s="3">
        <f t="shared" si="3"/>
        <v>30.068082441284329</v>
      </c>
      <c r="I30" s="3">
        <f t="shared" si="3"/>
        <v>2.0163256804432925</v>
      </c>
      <c r="J30">
        <f t="shared" si="8"/>
        <v>1.8260495038770419E-2</v>
      </c>
      <c r="K30">
        <f t="shared" si="8"/>
        <v>1.7407775781004582</v>
      </c>
      <c r="L30">
        <f t="shared" si="7"/>
        <v>64.278438683396658</v>
      </c>
      <c r="M30">
        <f t="shared" si="7"/>
        <v>376492.87728956412</v>
      </c>
    </row>
    <row r="31" spans="1:13" x14ac:dyDescent="0.2">
      <c r="A31">
        <v>17</v>
      </c>
      <c r="B31">
        <v>64</v>
      </c>
      <c r="C31" s="3">
        <f t="shared" si="5"/>
        <v>30.068082441284329</v>
      </c>
      <c r="D31" s="3">
        <f t="shared" si="5"/>
        <v>2.0163256804432925</v>
      </c>
      <c r="E31" s="3">
        <f t="shared" si="6"/>
        <v>64.345619008820307</v>
      </c>
      <c r="F31" s="7">
        <f t="shared" si="0"/>
        <v>0.69123801764061454</v>
      </c>
      <c r="G31" s="7">
        <f t="shared" si="1"/>
        <v>11.751046299890447</v>
      </c>
      <c r="H31" s="3">
        <f t="shared" si="3"/>
        <v>30.067911399387445</v>
      </c>
      <c r="I31" s="3">
        <f t="shared" si="3"/>
        <v>2.0162540476104422</v>
      </c>
      <c r="J31">
        <f t="shared" si="8"/>
        <v>8.5558247298954809E-2</v>
      </c>
      <c r="K31">
        <f t="shared" si="8"/>
        <v>2.7418044502794565</v>
      </c>
      <c r="L31">
        <f t="shared" si="7"/>
        <v>61.088407249078408</v>
      </c>
      <c r="M31">
        <f t="shared" si="7"/>
        <v>357675.137779543</v>
      </c>
    </row>
    <row r="32" spans="1:13" x14ac:dyDescent="0.2">
      <c r="A32">
        <v>8</v>
      </c>
      <c r="B32">
        <v>46</v>
      </c>
      <c r="C32" s="3">
        <f t="shared" si="5"/>
        <v>30.067911399387445</v>
      </c>
      <c r="D32" s="3">
        <f t="shared" si="5"/>
        <v>2.0162540476104422</v>
      </c>
      <c r="E32" s="3">
        <f t="shared" si="6"/>
        <v>46.197943780270982</v>
      </c>
      <c r="F32" s="7">
        <f t="shared" si="0"/>
        <v>0.39588756054196494</v>
      </c>
      <c r="G32" s="7">
        <f t="shared" si="1"/>
        <v>3.1671004843357196</v>
      </c>
      <c r="H32" s="3">
        <f t="shared" si="3"/>
        <v>30.067672279776446</v>
      </c>
      <c r="I32" s="3">
        <f t="shared" si="3"/>
        <v>2.0161794139288562</v>
      </c>
      <c r="J32">
        <f t="shared" si="8"/>
        <v>0.11659117862325581</v>
      </c>
      <c r="K32">
        <f t="shared" si="8"/>
        <v>2.7843340536850829</v>
      </c>
      <c r="L32">
        <f t="shared" si="7"/>
        <v>58.041823234654075</v>
      </c>
      <c r="M32">
        <f t="shared" si="7"/>
        <v>339791.88241683971</v>
      </c>
    </row>
    <row r="33" spans="1:15" x14ac:dyDescent="0.2">
      <c r="A33" s="7"/>
      <c r="B33" s="7"/>
      <c r="F33" s="7">
        <f>SQRT(SUMSQ(F4:F32))/COUNT(F4:F32)</f>
        <v>0.63983141134448585</v>
      </c>
      <c r="G33" s="7">
        <f>SQRT(SUMSQ(G4:G32))/COUNT(G4:G32)</f>
        <v>47.053782411504244</v>
      </c>
      <c r="H33" s="3"/>
      <c r="J33">
        <v>-4.3281475733096162</v>
      </c>
      <c r="K33">
        <v>-280.55631496032572</v>
      </c>
      <c r="L33" s="7">
        <v>231.81314568509319</v>
      </c>
      <c r="M33" s="7">
        <v>1367726.2037893971</v>
      </c>
      <c r="N33" s="3">
        <f>SQRT(L33)+SQRT(M33)</f>
        <v>1184.7236812924136</v>
      </c>
      <c r="O33" s="10"/>
    </row>
    <row r="34" spans="1:15" x14ac:dyDescent="0.2">
      <c r="K34">
        <f>1/K3</f>
        <v>-3.5643467877078897E-3</v>
      </c>
      <c r="L34">
        <f>1/L3</f>
        <v>4.3138192057427622E-3</v>
      </c>
      <c r="N34">
        <f>avg_grad2/prev_grad2</f>
        <v>3.0525616045218325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11A4C-3A77-F94A-9989-2DF681FFE06A}">
  <sheetPr codeName="Sheet2"/>
  <dimension ref="A1:AJ34"/>
  <sheetViews>
    <sheetView topLeftCell="G1" workbookViewId="0">
      <pane ySplit="5" topLeftCell="A6" activePane="bottomLeft" state="frozen"/>
      <selection pane="bottomLeft" activeCell="AH10" sqref="AH10"/>
    </sheetView>
  </sheetViews>
  <sheetFormatPr baseColWidth="10" defaultRowHeight="15" x14ac:dyDescent="0.2"/>
  <cols>
    <col min="4" max="4" width="71.5" bestFit="1" customWidth="1"/>
    <col min="5" max="5" width="11" bestFit="1" customWidth="1"/>
    <col min="7" max="7" width="23.5" bestFit="1" customWidth="1"/>
    <col min="8" max="8" width="11" bestFit="1" customWidth="1"/>
    <col min="10" max="10" width="24.5" bestFit="1" customWidth="1"/>
    <col min="11" max="11" width="11" bestFit="1" customWidth="1"/>
    <col min="13" max="13" width="16.83203125" bestFit="1" customWidth="1"/>
    <col min="14" max="14" width="11" bestFit="1" customWidth="1"/>
    <col min="16" max="16" width="24.5" bestFit="1" customWidth="1"/>
    <col min="17" max="17" width="11" bestFit="1" customWidth="1"/>
    <col min="19" max="19" width="19.83203125" bestFit="1" customWidth="1"/>
    <col min="22" max="22" width="18.83203125" bestFit="1" customWidth="1"/>
    <col min="25" max="25" width="19.83203125" bestFit="1" customWidth="1"/>
    <col min="28" max="28" width="13.1640625" bestFit="1" customWidth="1"/>
    <col min="31" max="31" width="36.33203125" bestFit="1" customWidth="1"/>
    <col min="34" max="34" width="35.33203125" bestFit="1" customWidth="1"/>
  </cols>
  <sheetData>
    <row r="1" spans="1:36" x14ac:dyDescent="0.2">
      <c r="A1" t="s">
        <v>105</v>
      </c>
      <c r="B1">
        <v>1</v>
      </c>
      <c r="C1">
        <v>1</v>
      </c>
      <c r="F1" t="s">
        <v>14</v>
      </c>
      <c r="G1">
        <v>1E-4</v>
      </c>
      <c r="I1" t="s">
        <v>103</v>
      </c>
      <c r="J1" s="27" t="s">
        <v>83</v>
      </c>
      <c r="L1" s="27" t="s">
        <v>113</v>
      </c>
    </row>
    <row r="2" spans="1:36" x14ac:dyDescent="0.2">
      <c r="A2" t="s">
        <v>104</v>
      </c>
      <c r="B2">
        <v>1</v>
      </c>
      <c r="C2">
        <v>1</v>
      </c>
      <c r="I2" t="s">
        <v>102</v>
      </c>
      <c r="J2" t="s">
        <v>108</v>
      </c>
      <c r="L2" t="s">
        <v>108</v>
      </c>
      <c r="AE2" t="s">
        <v>111</v>
      </c>
      <c r="AH2" t="s">
        <v>112</v>
      </c>
    </row>
    <row r="3" spans="1:36" x14ac:dyDescent="0.2">
      <c r="D3" s="28" t="s">
        <v>122</v>
      </c>
      <c r="E3" s="32" t="s">
        <v>123</v>
      </c>
      <c r="F3" s="32"/>
      <c r="G3" t="s">
        <v>122</v>
      </c>
      <c r="H3" s="32" t="s">
        <v>123</v>
      </c>
      <c r="I3" s="32"/>
      <c r="J3" t="s">
        <v>122</v>
      </c>
      <c r="K3" s="32" t="s">
        <v>123</v>
      </c>
      <c r="L3" s="32"/>
      <c r="M3" t="s">
        <v>122</v>
      </c>
      <c r="N3" s="32" t="s">
        <v>123</v>
      </c>
      <c r="O3" s="32"/>
    </row>
    <row r="4" spans="1:36" x14ac:dyDescent="0.2">
      <c r="D4" s="28" t="s">
        <v>120</v>
      </c>
      <c r="E4" t="s">
        <v>120</v>
      </c>
      <c r="F4" t="s">
        <v>121</v>
      </c>
      <c r="G4" t="s">
        <v>120</v>
      </c>
      <c r="H4" t="s">
        <v>120</v>
      </c>
      <c r="I4" t="s">
        <v>121</v>
      </c>
      <c r="J4" t="s">
        <v>120</v>
      </c>
      <c r="K4" t="s">
        <v>120</v>
      </c>
      <c r="L4" t="s">
        <v>121</v>
      </c>
      <c r="M4" t="s">
        <v>120</v>
      </c>
      <c r="N4" t="s">
        <v>120</v>
      </c>
      <c r="O4" t="s">
        <v>121</v>
      </c>
      <c r="P4" t="s">
        <v>120</v>
      </c>
      <c r="Q4" t="s">
        <v>120</v>
      </c>
      <c r="R4" t="s">
        <v>121</v>
      </c>
      <c r="S4" s="29"/>
      <c r="T4" s="29"/>
      <c r="U4" s="29"/>
      <c r="V4" s="29"/>
      <c r="W4" s="29"/>
      <c r="X4" s="29"/>
      <c r="Y4" s="29"/>
      <c r="Z4" s="29"/>
      <c r="AA4" s="29"/>
      <c r="AB4" s="29"/>
      <c r="AC4" s="29"/>
      <c r="AD4" s="29"/>
      <c r="AE4" s="29"/>
      <c r="AF4" s="29"/>
      <c r="AG4" s="29"/>
      <c r="AH4" s="29"/>
      <c r="AI4" s="29"/>
      <c r="AJ4" s="29"/>
    </row>
    <row r="5" spans="1:36" x14ac:dyDescent="0.2">
      <c r="D5" s="28" t="s">
        <v>1</v>
      </c>
      <c r="E5" t="s">
        <v>1</v>
      </c>
      <c r="F5" t="s">
        <v>1</v>
      </c>
      <c r="G5" t="s">
        <v>10</v>
      </c>
      <c r="H5" t="s">
        <v>10</v>
      </c>
      <c r="I5" t="s">
        <v>10</v>
      </c>
      <c r="J5" t="s">
        <v>11</v>
      </c>
      <c r="K5" t="s">
        <v>11</v>
      </c>
      <c r="L5" t="s">
        <v>11</v>
      </c>
      <c r="M5" t="s">
        <v>75</v>
      </c>
      <c r="N5" t="s">
        <v>75</v>
      </c>
      <c r="O5" t="s">
        <v>75</v>
      </c>
      <c r="P5" t="s">
        <v>77</v>
      </c>
      <c r="Q5" t="s">
        <v>77</v>
      </c>
      <c r="R5" t="s">
        <v>77</v>
      </c>
      <c r="S5" t="s">
        <v>12</v>
      </c>
      <c r="T5" t="s">
        <v>12</v>
      </c>
      <c r="U5" t="s">
        <v>12</v>
      </c>
      <c r="V5" t="s">
        <v>13</v>
      </c>
      <c r="W5" t="s">
        <v>13</v>
      </c>
      <c r="X5" t="s">
        <v>13</v>
      </c>
      <c r="Y5" t="s">
        <v>78</v>
      </c>
      <c r="Z5" t="s">
        <v>78</v>
      </c>
      <c r="AA5" t="s">
        <v>78</v>
      </c>
      <c r="AB5" t="s">
        <v>79</v>
      </c>
      <c r="AC5" t="s">
        <v>79</v>
      </c>
      <c r="AD5" t="s">
        <v>79</v>
      </c>
      <c r="AE5" t="s">
        <v>109</v>
      </c>
      <c r="AF5" t="s">
        <v>109</v>
      </c>
      <c r="AG5" t="s">
        <v>109</v>
      </c>
      <c r="AH5" t="s">
        <v>110</v>
      </c>
      <c r="AI5" t="s">
        <v>110</v>
      </c>
      <c r="AJ5" t="s">
        <v>110</v>
      </c>
    </row>
    <row r="6" spans="1:36" x14ac:dyDescent="0.2">
      <c r="D6" s="7">
        <v>1764</v>
      </c>
      <c r="E6" s="7">
        <v>1764</v>
      </c>
      <c r="F6" s="7">
        <v>2041.3908540780976</v>
      </c>
      <c r="G6" s="7">
        <v>-83.989999999994325</v>
      </c>
      <c r="H6" s="7">
        <v>-83.989999999994325</v>
      </c>
      <c r="I6" s="7">
        <v>0</v>
      </c>
      <c r="J6" s="7">
        <v>-1174.0400000000136</v>
      </c>
      <c r="K6" s="7">
        <v>-1174.0400000000136</v>
      </c>
      <c r="L6" s="7">
        <v>0</v>
      </c>
      <c r="M6" s="7">
        <v>-83.990000000039799</v>
      </c>
      <c r="N6" s="7">
        <v>-83.990000000039799</v>
      </c>
      <c r="O6" s="7">
        <v>-90.353507104964592</v>
      </c>
      <c r="P6" s="7">
        <v>-1257.7499999999873</v>
      </c>
      <c r="Q6" s="7">
        <v>-1257.7499999999873</v>
      </c>
      <c r="R6">
        <v>0</v>
      </c>
      <c r="S6" s="7">
        <v>1.1174040000000014</v>
      </c>
      <c r="T6" s="7">
        <v>1.1174040000000014</v>
      </c>
      <c r="U6" s="7">
        <v>-5.6415540620440714</v>
      </c>
      <c r="V6" s="7">
        <v>1.0083989999999994</v>
      </c>
      <c r="W6" s="7">
        <v>1.0083989999999994</v>
      </c>
      <c r="X6" s="7">
        <v>0.96365708574645292</v>
      </c>
      <c r="Y6" s="7">
        <v>1.1257749999999986</v>
      </c>
      <c r="Z6" s="7">
        <v>1.1257749999999986</v>
      </c>
      <c r="AA6" s="7">
        <v>-5.531824881142887</v>
      </c>
      <c r="AB6" s="7">
        <v>1.008399000000004</v>
      </c>
      <c r="AC6" s="7">
        <v>1.008399000000004</v>
      </c>
      <c r="AD6" s="7">
        <v>12.827281798218779</v>
      </c>
      <c r="AE6" s="7">
        <v>1.2579454881000001</v>
      </c>
      <c r="AF6" s="7">
        <v>1.2579454881000001</v>
      </c>
      <c r="AG6" s="7">
        <v>31.208089128728115</v>
      </c>
      <c r="AH6" s="7">
        <v>2.1436293842250018</v>
      </c>
      <c r="AI6" s="7">
        <v>2.1436293842250018</v>
      </c>
      <c r="AJ6" s="7">
        <v>7.4964995543969062</v>
      </c>
    </row>
    <row r="7" spans="1:36" x14ac:dyDescent="0.2">
      <c r="D7" s="7">
        <v>8403.9496802616195</v>
      </c>
      <c r="E7" s="7">
        <v>8403.9496802616195</v>
      </c>
      <c r="F7" s="7">
        <v>35786.317311850522</v>
      </c>
      <c r="G7" s="7">
        <v>-206.39380148568307</v>
      </c>
      <c r="H7" s="7">
        <v>-206.39380148568307</v>
      </c>
      <c r="I7" s="7">
        <v>0</v>
      </c>
      <c r="J7" s="7">
        <v>-17657.2222282246</v>
      </c>
      <c r="K7" s="7">
        <v>-17657.2222282246</v>
      </c>
      <c r="L7" s="7">
        <v>0</v>
      </c>
      <c r="M7" s="7">
        <v>-183.3361172783043</v>
      </c>
      <c r="N7" s="7">
        <v>-183.3361172783043</v>
      </c>
      <c r="O7" s="7">
        <v>-378.33543640299467</v>
      </c>
      <c r="P7" s="7">
        <v>-17709.556848838474</v>
      </c>
      <c r="Q7" s="7">
        <v>-17709.556848838474</v>
      </c>
      <c r="R7">
        <v>0</v>
      </c>
      <c r="S7" s="7">
        <v>2.8831262228224617</v>
      </c>
      <c r="T7" s="7">
        <v>2.8831262228224617</v>
      </c>
      <c r="U7" s="7">
        <v>-5.6415540620440714</v>
      </c>
      <c r="V7" s="7">
        <v>1.0290383801485676</v>
      </c>
      <c r="W7" s="7">
        <v>1.0290383801485676</v>
      </c>
      <c r="X7" s="7">
        <v>0.96365708574645292</v>
      </c>
      <c r="Y7" s="7">
        <v>2.8967306848838463</v>
      </c>
      <c r="Z7" s="7">
        <v>2.8967306848838463</v>
      </c>
      <c r="AA7" s="7">
        <v>-5.531824881142887</v>
      </c>
      <c r="AB7" s="7">
        <v>1.0267326117278344</v>
      </c>
      <c r="AC7" s="7">
        <v>1.0267326117278344</v>
      </c>
      <c r="AD7" s="7">
        <v>12.865115341859079</v>
      </c>
      <c r="AE7" s="7">
        <v>8.3516401980430857</v>
      </c>
      <c r="AF7" s="7">
        <v>8.3516401980430857</v>
      </c>
      <c r="AG7" s="7">
        <v>31.208089128728115</v>
      </c>
      <c r="AH7" s="7">
        <v>4.0075796634273582</v>
      </c>
      <c r="AI7" s="7">
        <v>4.0075796634273582</v>
      </c>
      <c r="AJ7" s="7">
        <v>7.5343330980372061</v>
      </c>
    </row>
    <row r="8" spans="1:36" x14ac:dyDescent="0.2">
      <c r="D8" s="7">
        <v>23059.487044148558</v>
      </c>
      <c r="E8" s="7">
        <v>23059.487044148558</v>
      </c>
      <c r="F8" s="7">
        <v>5348.7113539595757</v>
      </c>
      <c r="G8" s="7">
        <v>879.84132677738671</v>
      </c>
      <c r="H8" s="7">
        <v>879.84132677738671</v>
      </c>
      <c r="I8" s="7">
        <v>0</v>
      </c>
      <c r="J8" s="7">
        <v>24698.993477621843</v>
      </c>
      <c r="K8" s="7">
        <v>24698.993477621843</v>
      </c>
      <c r="L8" s="7">
        <v>0</v>
      </c>
      <c r="M8" s="7">
        <v>303.71701041767665</v>
      </c>
      <c r="N8" s="7">
        <v>303.71701041767665</v>
      </c>
      <c r="O8" s="7">
        <v>-146.25976931611149</v>
      </c>
      <c r="P8" s="7">
        <v>24896.885623796334</v>
      </c>
      <c r="Q8" s="7">
        <v>24896.885623796334</v>
      </c>
      <c r="R8">
        <v>0</v>
      </c>
      <c r="S8" s="7">
        <v>0.413226875060277</v>
      </c>
      <c r="T8" s="7">
        <v>0.413226875060277</v>
      </c>
      <c r="U8" s="7">
        <v>-5.6415540620440714</v>
      </c>
      <c r="V8" s="7">
        <v>0.941054247470829</v>
      </c>
      <c r="W8" s="7">
        <v>0.941054247470829</v>
      </c>
      <c r="X8" s="7">
        <v>0.96365708574645292</v>
      </c>
      <c r="Y8" s="7">
        <v>0.40704212250421268</v>
      </c>
      <c r="Z8" s="7">
        <v>0.40704212250421268</v>
      </c>
      <c r="AA8" s="7">
        <v>-5.531824881142887</v>
      </c>
      <c r="AB8" s="7">
        <v>0.99636091068606669</v>
      </c>
      <c r="AC8" s="7">
        <v>0.99636091068606669</v>
      </c>
      <c r="AD8" s="7">
        <v>12.879741318790691</v>
      </c>
      <c r="AE8" s="7">
        <v>0.16820074430031826</v>
      </c>
      <c r="AF8" s="7">
        <v>0.16820074430031826</v>
      </c>
      <c r="AG8" s="7">
        <v>31.208089128728115</v>
      </c>
      <c r="AH8" s="7">
        <v>1.3794096289681974</v>
      </c>
      <c r="AI8" s="7">
        <v>1.3794096289681974</v>
      </c>
      <c r="AJ8" s="7">
        <v>7.5489590749688178</v>
      </c>
    </row>
    <row r="9" spans="1:36" x14ac:dyDescent="0.2">
      <c r="D9" s="7">
        <v>14894.335782185377</v>
      </c>
      <c r="E9" s="7">
        <v>14894.335782185377</v>
      </c>
      <c r="F9" s="7">
        <v>14189.636028278221</v>
      </c>
      <c r="G9" s="7">
        <v>-99.351099489103945</v>
      </c>
      <c r="H9" s="7">
        <v>-99.351099489103945</v>
      </c>
      <c r="I9" s="7">
        <v>0</v>
      </c>
      <c r="J9" s="7">
        <v>-5062.6811500695112</v>
      </c>
      <c r="K9" s="7">
        <v>-5062.6811500695112</v>
      </c>
      <c r="L9" s="7">
        <v>0</v>
      </c>
      <c r="M9" s="7">
        <v>-244.0747048232879</v>
      </c>
      <c r="N9" s="7">
        <v>-244.0747048232879</v>
      </c>
      <c r="O9" s="7">
        <v>-238.23051736253547</v>
      </c>
      <c r="P9" s="7">
        <v>-5368.8304218640042</v>
      </c>
      <c r="Q9" s="7">
        <v>-5368.8304218640042</v>
      </c>
      <c r="R9">
        <v>0</v>
      </c>
      <c r="S9" s="7">
        <v>0.91949499006722812</v>
      </c>
      <c r="T9" s="7">
        <v>0.91949499006722812</v>
      </c>
      <c r="U9" s="7">
        <v>-5.6415540620440714</v>
      </c>
      <c r="V9" s="7">
        <v>0.95098935741973945</v>
      </c>
      <c r="W9" s="7">
        <v>0.95098935741973945</v>
      </c>
      <c r="X9" s="7">
        <v>0.96365708574645292</v>
      </c>
      <c r="Y9" s="7">
        <v>0.94392516469061316</v>
      </c>
      <c r="Z9" s="7">
        <v>0.94392516469061316</v>
      </c>
      <c r="AA9" s="7">
        <v>-5.531824881142887</v>
      </c>
      <c r="AB9" s="7">
        <v>1.0207683811683954</v>
      </c>
      <c r="AC9" s="7">
        <v>1.0207683811683954</v>
      </c>
      <c r="AD9" s="7">
        <v>12.903564370526944</v>
      </c>
      <c r="AE9" s="7">
        <v>0.86793445993140206</v>
      </c>
      <c r="AF9" s="7">
        <v>0.86793445993140206</v>
      </c>
      <c r="AG9" s="7">
        <v>31.208089128728115</v>
      </c>
      <c r="AH9" s="7">
        <v>1.9184311669898433</v>
      </c>
      <c r="AI9" s="7">
        <v>1.9184311669898433</v>
      </c>
      <c r="AJ9" s="7">
        <v>7.5727821267050706</v>
      </c>
    </row>
    <row r="10" spans="1:36" x14ac:dyDescent="0.2">
      <c r="D10" s="7">
        <v>3573.5771372068079</v>
      </c>
      <c r="E10" s="7">
        <v>3573.5771372068079</v>
      </c>
      <c r="F10" s="7">
        <v>5343.0889017336995</v>
      </c>
      <c r="G10" s="7">
        <v>-112.8456574993379</v>
      </c>
      <c r="H10" s="7">
        <v>-112.8456574993379</v>
      </c>
      <c r="I10" s="7">
        <v>0</v>
      </c>
      <c r="J10" s="7">
        <v>-3152.9424899251808</v>
      </c>
      <c r="K10" s="7">
        <v>-3152.9424899251808</v>
      </c>
      <c r="L10" s="7">
        <v>0</v>
      </c>
      <c r="M10" s="7">
        <v>-119.54880790981406</v>
      </c>
      <c r="N10" s="7">
        <v>-119.54880790981406</v>
      </c>
      <c r="O10" s="7">
        <v>-146.18287125904317</v>
      </c>
      <c r="P10" s="7">
        <v>-3184.7162333631786</v>
      </c>
      <c r="Q10" s="7">
        <v>-3184.7162333631786</v>
      </c>
      <c r="R10">
        <v>0</v>
      </c>
      <c r="S10" s="7">
        <v>1.2347892390597461</v>
      </c>
      <c r="T10" s="7">
        <v>1.2347892390597461</v>
      </c>
      <c r="U10" s="7">
        <v>-5.6415540620440714</v>
      </c>
      <c r="V10" s="7">
        <v>0.9622739231696732</v>
      </c>
      <c r="W10" s="7">
        <v>0.9622739231696732</v>
      </c>
      <c r="X10" s="7">
        <v>0.96365708574645292</v>
      </c>
      <c r="Y10" s="7">
        <v>1.2623967880269311</v>
      </c>
      <c r="Z10" s="7">
        <v>1.2623967880269311</v>
      </c>
      <c r="AA10" s="7">
        <v>-5.531824881142887</v>
      </c>
      <c r="AB10" s="7">
        <v>1.0327232619593769</v>
      </c>
      <c r="AC10" s="7">
        <v>1.0327232619593769</v>
      </c>
      <c r="AD10" s="7">
        <v>12.918182657652848</v>
      </c>
      <c r="AE10" s="7">
        <v>1.5587939692792419</v>
      </c>
      <c r="AF10" s="7">
        <v>1.5587939692792419</v>
      </c>
      <c r="AG10" s="7">
        <v>31.208089128728115</v>
      </c>
      <c r="AH10" s="7">
        <v>2.247494771770846</v>
      </c>
      <c r="AI10" s="7">
        <v>2.247494771770846</v>
      </c>
      <c r="AJ10" s="7">
        <v>7.5874004138309745</v>
      </c>
    </row>
    <row r="11" spans="1:36" x14ac:dyDescent="0.2">
      <c r="D11" s="7">
        <v>1644.0981440113349</v>
      </c>
      <c r="E11" s="7">
        <v>1644.0981440113349</v>
      </c>
      <c r="F11" s="7">
        <v>5637.279295429581</v>
      </c>
      <c r="G11" s="7">
        <v>-102.3580808734323</v>
      </c>
      <c r="H11" s="7">
        <v>-102.3580808734323</v>
      </c>
      <c r="I11" s="7">
        <v>0</v>
      </c>
      <c r="J11" s="7">
        <v>-2955.4439426486397</v>
      </c>
      <c r="K11" s="7">
        <v>-2955.4439426486397</v>
      </c>
      <c r="L11" s="7">
        <v>0</v>
      </c>
      <c r="M11" s="7">
        <v>-81.084960238240456</v>
      </c>
      <c r="N11" s="7">
        <v>-81.084960238240456</v>
      </c>
      <c r="O11" s="7">
        <v>-150.15363468473879</v>
      </c>
      <c r="P11" s="7">
        <v>-2968.4347251768259</v>
      </c>
      <c r="Q11" s="7">
        <v>-2968.4347251768259</v>
      </c>
      <c r="R11">
        <v>0</v>
      </c>
      <c r="S11" s="7">
        <v>1.5303336333246103</v>
      </c>
      <c r="T11" s="7">
        <v>1.5303336333246103</v>
      </c>
      <c r="U11" s="7">
        <v>-5.6415540620440714</v>
      </c>
      <c r="V11" s="7">
        <v>0.97250973125701645</v>
      </c>
      <c r="W11" s="7">
        <v>0.97250973125701645</v>
      </c>
      <c r="X11" s="7">
        <v>0.96365708574645292</v>
      </c>
      <c r="Y11" s="7">
        <v>1.5592402605446138</v>
      </c>
      <c r="Z11" s="7">
        <v>1.5592402605446138</v>
      </c>
      <c r="AA11" s="7">
        <v>-5.531824881142887</v>
      </c>
      <c r="AB11" s="7">
        <v>1.0408317579832009</v>
      </c>
      <c r="AC11" s="7">
        <v>1.0408317579832009</v>
      </c>
      <c r="AD11" s="7">
        <v>12.933198021121321</v>
      </c>
      <c r="AE11" s="7">
        <v>2.386157813145251</v>
      </c>
      <c r="AF11" s="7">
        <v>2.386157813145251</v>
      </c>
      <c r="AG11" s="7">
        <v>31.208089128728115</v>
      </c>
      <c r="AH11" s="7">
        <v>2.5572080847305636</v>
      </c>
      <c r="AI11" s="7">
        <v>2.5572080847305636</v>
      </c>
      <c r="AJ11" s="7">
        <v>7.6024157772994476</v>
      </c>
    </row>
    <row r="12" spans="1:36" x14ac:dyDescent="0.2">
      <c r="D12" s="7">
        <v>0.13001118007575124</v>
      </c>
      <c r="E12" s="7">
        <v>0.13001118007575124</v>
      </c>
      <c r="F12" s="7">
        <v>25942.514699703319</v>
      </c>
      <c r="G12" s="7">
        <v>1.1487447917397891</v>
      </c>
      <c r="H12" s="7">
        <v>1.1487447917397891</v>
      </c>
      <c r="I12" s="7">
        <v>0</v>
      </c>
      <c r="J12" s="7">
        <v>206.99411232333279</v>
      </c>
      <c r="K12" s="7">
        <v>206.99411232333279</v>
      </c>
      <c r="L12" s="7">
        <v>0</v>
      </c>
      <c r="M12" s="7">
        <v>0.73114126237654176</v>
      </c>
      <c r="N12" s="7">
        <v>0.73114126237654176</v>
      </c>
      <c r="O12" s="7">
        <v>-322.12360395824362</v>
      </c>
      <c r="P12" s="7">
        <v>203.71730589981655</v>
      </c>
      <c r="Q12" s="7">
        <v>203.71730589981655</v>
      </c>
      <c r="R12">
        <v>0</v>
      </c>
      <c r="S12" s="7">
        <v>1.5096342220922769</v>
      </c>
      <c r="T12" s="7">
        <v>1.5096342220922769</v>
      </c>
      <c r="U12" s="7">
        <v>-5.6415540620440714</v>
      </c>
      <c r="V12" s="7">
        <v>0.97239485677784243</v>
      </c>
      <c r="W12" s="7">
        <v>0.97239485677784243</v>
      </c>
      <c r="X12" s="7">
        <v>0.96365708574645292</v>
      </c>
      <c r="Y12" s="7">
        <v>1.5388685299546321</v>
      </c>
      <c r="Z12" s="7">
        <v>1.5388685299546321</v>
      </c>
      <c r="AA12" s="7">
        <v>-5.531824881142887</v>
      </c>
      <c r="AB12" s="7">
        <v>1.0407586438569634</v>
      </c>
      <c r="AC12" s="7">
        <v>1.0407586438569634</v>
      </c>
      <c r="AD12" s="7">
        <v>12.965410381517145</v>
      </c>
      <c r="AE12" s="7">
        <v>2.3231285961203469</v>
      </c>
      <c r="AF12" s="7">
        <v>2.3231285961203469</v>
      </c>
      <c r="AG12" s="7">
        <v>31.208089128728115</v>
      </c>
      <c r="AH12" s="7">
        <v>2.5371464876421266</v>
      </c>
      <c r="AI12" s="7">
        <v>2.5371464876421266</v>
      </c>
      <c r="AJ12" s="7">
        <v>7.6346281376952723</v>
      </c>
    </row>
    <row r="13" spans="1:36" x14ac:dyDescent="0.2">
      <c r="D13" s="7">
        <v>55.188266269201506</v>
      </c>
      <c r="E13" s="7">
        <v>55.188266269201506</v>
      </c>
      <c r="F13" s="7">
        <v>19890.755468853877</v>
      </c>
      <c r="G13" s="7">
        <v>-22.840459827756376</v>
      </c>
      <c r="H13" s="7">
        <v>-22.840459827756376</v>
      </c>
      <c r="I13" s="7">
        <v>0</v>
      </c>
      <c r="J13" s="7">
        <v>-1326.546348870326</v>
      </c>
      <c r="K13" s="7">
        <v>-1326.546348870326</v>
      </c>
      <c r="L13" s="7">
        <v>0</v>
      </c>
      <c r="M13" s="7">
        <v>-14.847761105779256</v>
      </c>
      <c r="N13" s="7">
        <v>-14.847761105779256</v>
      </c>
      <c r="O13" s="7">
        <v>-282.05917923769448</v>
      </c>
      <c r="P13" s="7">
        <v>-1315.6599444508543</v>
      </c>
      <c r="Q13" s="7">
        <v>-1315.6599444508543</v>
      </c>
      <c r="R13">
        <v>0</v>
      </c>
      <c r="S13" s="7">
        <v>1.6422888569793095</v>
      </c>
      <c r="T13" s="7">
        <v>1.6422888569793095</v>
      </c>
      <c r="U13" s="7">
        <v>-5.6415540620440714</v>
      </c>
      <c r="V13" s="7">
        <v>0.97467890276061808</v>
      </c>
      <c r="W13" s="7">
        <v>0.97467890276061808</v>
      </c>
      <c r="X13" s="7">
        <v>0.96365708574645292</v>
      </c>
      <c r="Y13" s="7">
        <v>1.6704345243997176</v>
      </c>
      <c r="Z13" s="7">
        <v>1.6704345243997176</v>
      </c>
      <c r="AA13" s="7">
        <v>-5.531824881142887</v>
      </c>
      <c r="AB13" s="7">
        <v>1.0422434199675412</v>
      </c>
      <c r="AC13" s="7">
        <v>1.0422434199675412</v>
      </c>
      <c r="AD13" s="7">
        <v>12.993616299440914</v>
      </c>
      <c r="AE13" s="7">
        <v>2.7433360057351885</v>
      </c>
      <c r="AF13" s="7">
        <v>2.7433360057351885</v>
      </c>
      <c r="AG13" s="7">
        <v>31.208089128728115</v>
      </c>
      <c r="AH13" s="7">
        <v>2.6703807093429131</v>
      </c>
      <c r="AI13" s="7">
        <v>2.6703807093429131</v>
      </c>
      <c r="AJ13" s="7">
        <v>7.6628340556190411</v>
      </c>
    </row>
    <row r="14" spans="1:36" x14ac:dyDescent="0.2">
      <c r="D14" s="7">
        <v>1232.754596885211</v>
      </c>
      <c r="E14" s="7">
        <v>1232.754596885211</v>
      </c>
      <c r="F14" s="7">
        <v>34227.362009958502</v>
      </c>
      <c r="G14" s="7">
        <v>117.32783768234185</v>
      </c>
      <c r="H14" s="7">
        <v>117.32783768234185</v>
      </c>
      <c r="I14" s="7">
        <v>0</v>
      </c>
      <c r="J14" s="7">
        <v>10050.081671936527</v>
      </c>
      <c r="K14" s="7">
        <v>10050.081671936527</v>
      </c>
      <c r="L14" s="7">
        <v>0</v>
      </c>
      <c r="M14" s="7">
        <v>70.23121038212139</v>
      </c>
      <c r="N14" s="7">
        <v>70.23121038212139</v>
      </c>
      <c r="O14" s="7">
        <v>-370.00276740218396</v>
      </c>
      <c r="P14" s="7">
        <v>9948.6250389703164</v>
      </c>
      <c r="Q14" s="7">
        <v>9948.6250389703164</v>
      </c>
      <c r="R14">
        <v>0</v>
      </c>
      <c r="S14" s="7">
        <v>0.63728068978565688</v>
      </c>
      <c r="T14" s="7">
        <v>0.63728068978565688</v>
      </c>
      <c r="U14" s="7">
        <v>-5.6415540620440714</v>
      </c>
      <c r="V14" s="7">
        <v>0.96294611899238391</v>
      </c>
      <c r="W14" s="7">
        <v>0.96294611899238391</v>
      </c>
      <c r="X14" s="7">
        <v>0.96365708574645292</v>
      </c>
      <c r="Y14" s="7">
        <v>0.67557202050268594</v>
      </c>
      <c r="Z14" s="7">
        <v>0.67557202050268594</v>
      </c>
      <c r="AA14" s="7">
        <v>-5.531824881142887</v>
      </c>
      <c r="AB14" s="7">
        <v>1.0352202989293291</v>
      </c>
      <c r="AC14" s="7">
        <v>1.0352202989293291</v>
      </c>
      <c r="AD14" s="7">
        <v>13.030616576181133</v>
      </c>
      <c r="AE14" s="7">
        <v>0.43052900322584164</v>
      </c>
      <c r="AF14" s="7">
        <v>0.43052900322584164</v>
      </c>
      <c r="AG14" s="7">
        <v>31.208089128728115</v>
      </c>
      <c r="AH14" s="7">
        <v>1.6857597541722338</v>
      </c>
      <c r="AI14" s="7">
        <v>1.6857597541722338</v>
      </c>
      <c r="AJ14" s="7">
        <v>7.6998343323592602</v>
      </c>
    </row>
    <row r="15" spans="1:36" x14ac:dyDescent="0.2">
      <c r="D15" s="7">
        <v>2689.0763887300577</v>
      </c>
      <c r="E15" s="7">
        <v>2689.0763887300577</v>
      </c>
      <c r="F15" s="7">
        <v>2206.1229792137106</v>
      </c>
      <c r="G15" s="7">
        <v>-70.060773780551244</v>
      </c>
      <c r="H15" s="7">
        <v>-70.060773780551244</v>
      </c>
      <c r="I15" s="7">
        <v>0</v>
      </c>
      <c r="J15" s="7">
        <v>-1049.9531718427079</v>
      </c>
      <c r="K15" s="7">
        <v>-1049.9531718427079</v>
      </c>
      <c r="L15" s="7">
        <v>0</v>
      </c>
      <c r="M15" s="7">
        <v>-103.70261039488469</v>
      </c>
      <c r="N15" s="7">
        <v>-103.70261039488469</v>
      </c>
      <c r="O15" s="7">
        <v>-93.928766847693623</v>
      </c>
      <c r="P15" s="7">
        <v>-1090.1731562822533</v>
      </c>
      <c r="Q15" s="7">
        <v>-1090.1731562822533</v>
      </c>
      <c r="R15">
        <v>0</v>
      </c>
      <c r="S15" s="7">
        <v>0.74227600696992768</v>
      </c>
      <c r="T15" s="7">
        <v>0.74227600696992768</v>
      </c>
      <c r="U15" s="7">
        <v>-5.6415540620440714</v>
      </c>
      <c r="V15" s="7">
        <v>0.96995219637043906</v>
      </c>
      <c r="W15" s="7">
        <v>0.96995219637043906</v>
      </c>
      <c r="X15" s="7">
        <v>0.96365708574645292</v>
      </c>
      <c r="Y15" s="7">
        <v>0.78458933613091131</v>
      </c>
      <c r="Z15" s="7">
        <v>0.78458933613091131</v>
      </c>
      <c r="AA15" s="7">
        <v>-5.531824881142887</v>
      </c>
      <c r="AB15" s="7">
        <v>1.0455905599688176</v>
      </c>
      <c r="AC15" s="7">
        <v>1.0455905599688176</v>
      </c>
      <c r="AD15" s="7">
        <v>13.040009452865903</v>
      </c>
      <c r="AE15" s="7">
        <v>0.58238183953443923</v>
      </c>
      <c r="AF15" s="7">
        <v>0.58238183953443923</v>
      </c>
      <c r="AG15" s="7">
        <v>31.208089128728115</v>
      </c>
      <c r="AH15" s="7">
        <v>1.8066047097978197</v>
      </c>
      <c r="AI15" s="7">
        <v>1.8066047097978197</v>
      </c>
      <c r="AJ15" s="7">
        <v>7.7092272090440295</v>
      </c>
    </row>
    <row r="16" spans="1:36" x14ac:dyDescent="0.2">
      <c r="D16" s="7">
        <v>7697.1421111773052</v>
      </c>
      <c r="E16" s="7">
        <v>7697.1421111773052</v>
      </c>
      <c r="F16" s="7">
        <v>10192.919691277406</v>
      </c>
      <c r="G16" s="7">
        <v>-137.66315846187354</v>
      </c>
      <c r="H16" s="7">
        <v>-137.66315846187354</v>
      </c>
      <c r="I16" s="7">
        <v>0</v>
      </c>
      <c r="J16" s="7">
        <v>-5771.2523604595845</v>
      </c>
      <c r="K16" s="7">
        <v>-5771.2523604595845</v>
      </c>
      <c r="L16" s="7">
        <v>0</v>
      </c>
      <c r="M16" s="7">
        <v>-175.45671605957978</v>
      </c>
      <c r="N16" s="7">
        <v>-175.45671605957978</v>
      </c>
      <c r="O16" s="7">
        <v>-201.9099810942862</v>
      </c>
      <c r="P16" s="7">
        <v>-5630.1397671435552</v>
      </c>
      <c r="Q16" s="7">
        <v>-5630.1397671435552</v>
      </c>
      <c r="R16">
        <v>0</v>
      </c>
      <c r="S16" s="7">
        <v>1.3194012430158861</v>
      </c>
      <c r="T16" s="7">
        <v>1.3194012430158861</v>
      </c>
      <c r="U16" s="7">
        <v>-5.6415540620440714</v>
      </c>
      <c r="V16" s="7">
        <v>0.98371851221662643</v>
      </c>
      <c r="W16" s="7">
        <v>0.98371851221662643</v>
      </c>
      <c r="X16" s="7">
        <v>0.96365708574645292</v>
      </c>
      <c r="Y16" s="7">
        <v>1.3476033128452669</v>
      </c>
      <c r="Z16" s="7">
        <v>1.3476033128452669</v>
      </c>
      <c r="AA16" s="7">
        <v>-5.531824881142887</v>
      </c>
      <c r="AB16" s="7">
        <v>1.0631362315747754</v>
      </c>
      <c r="AC16" s="7">
        <v>1.0631362315747754</v>
      </c>
      <c r="AD16" s="7">
        <v>13.060200450975332</v>
      </c>
      <c r="AE16" s="7">
        <v>1.7780294860603711</v>
      </c>
      <c r="AF16" s="7">
        <v>1.7780294860603711</v>
      </c>
      <c r="AG16" s="7">
        <v>31.208089128728115</v>
      </c>
      <c r="AH16" s="7">
        <v>2.3887985575451181</v>
      </c>
      <c r="AI16" s="7">
        <v>2.3887985575451181</v>
      </c>
      <c r="AJ16" s="7">
        <v>7.7294182071534587</v>
      </c>
    </row>
    <row r="17" spans="4:36" x14ac:dyDescent="0.2">
      <c r="D17" s="7">
        <v>1711.7560187765382</v>
      </c>
      <c r="E17" s="7">
        <v>1711.7560187765382</v>
      </c>
      <c r="F17" s="7">
        <v>19864.02709691925</v>
      </c>
      <c r="G17" s="7">
        <v>-111.49162951655853</v>
      </c>
      <c r="H17" s="7">
        <v>-111.49162951655853</v>
      </c>
      <c r="I17" s="7">
        <v>0</v>
      </c>
      <c r="J17" s="7">
        <v>-6843.7985980947133</v>
      </c>
      <c r="K17" s="7">
        <v>-6843.7985980947133</v>
      </c>
      <c r="L17" s="7">
        <v>0</v>
      </c>
      <c r="M17" s="7">
        <v>-82.73674661345467</v>
      </c>
      <c r="N17" s="7">
        <v>-82.73674661345467</v>
      </c>
      <c r="O17" s="7">
        <v>-281.86959909762663</v>
      </c>
      <c r="P17" s="7">
        <v>-6781.785243304148</v>
      </c>
      <c r="Q17" s="7">
        <v>-6781.785243304148</v>
      </c>
      <c r="R17">
        <v>0</v>
      </c>
      <c r="S17" s="7">
        <v>2.0037811028253576</v>
      </c>
      <c r="T17" s="7">
        <v>2.0037811028253576</v>
      </c>
      <c r="U17" s="7">
        <v>-5.6415540620440714</v>
      </c>
      <c r="V17" s="7">
        <v>0.99486767516828223</v>
      </c>
      <c r="W17" s="7">
        <v>0.99486767516828223</v>
      </c>
      <c r="X17" s="7">
        <v>0.96365708574645292</v>
      </c>
      <c r="Y17" s="7">
        <v>2.0257818371756819</v>
      </c>
      <c r="Z17" s="7">
        <v>2.0257818371756819</v>
      </c>
      <c r="AA17" s="7">
        <v>-5.531824881142887</v>
      </c>
      <c r="AB17" s="7">
        <v>1.0714099062361209</v>
      </c>
      <c r="AC17" s="7">
        <v>1.0714099062361209</v>
      </c>
      <c r="AD17" s="7">
        <v>13.088387410885094</v>
      </c>
      <c r="AE17" s="7">
        <v>4.0592233637794672</v>
      </c>
      <c r="AF17" s="7">
        <v>4.0592233637794672</v>
      </c>
      <c r="AG17" s="7">
        <v>31.208089128728115</v>
      </c>
      <c r="AH17" s="7">
        <v>3.0867947729852232</v>
      </c>
      <c r="AI17" s="7">
        <v>3.0867947729852232</v>
      </c>
      <c r="AJ17" s="7">
        <v>7.7576051670632209</v>
      </c>
    </row>
    <row r="18" spans="4:36" x14ac:dyDescent="0.2">
      <c r="D18" s="7">
        <v>4881.8578258262323</v>
      </c>
      <c r="E18" s="7">
        <v>4881.8578258262323</v>
      </c>
      <c r="F18" s="7">
        <v>12301.385807117913</v>
      </c>
      <c r="G18" s="7">
        <v>283.12497843153324</v>
      </c>
      <c r="H18" s="7">
        <v>283.12497843153324</v>
      </c>
      <c r="I18" s="7">
        <v>0</v>
      </c>
      <c r="J18" s="7">
        <v>13395.59797043712</v>
      </c>
      <c r="K18" s="7">
        <v>13395.59797043712</v>
      </c>
      <c r="L18" s="7">
        <v>0</v>
      </c>
      <c r="M18" s="7">
        <v>139.75058574151262</v>
      </c>
      <c r="N18" s="7">
        <v>139.75058574151262</v>
      </c>
      <c r="O18" s="7">
        <v>-221.81322517826629</v>
      </c>
      <c r="P18" s="7">
        <v>13390.050205848638</v>
      </c>
      <c r="Q18" s="7">
        <v>13390.050205848638</v>
      </c>
      <c r="R18">
        <v>0</v>
      </c>
      <c r="S18" s="7">
        <v>0.66422130578164551</v>
      </c>
      <c r="T18" s="7">
        <v>0.66422130578164551</v>
      </c>
      <c r="U18" s="7">
        <v>-5.6415540620440714</v>
      </c>
      <c r="V18" s="7">
        <v>0.96655517732512886</v>
      </c>
      <c r="W18" s="7">
        <v>0.96655517732512886</v>
      </c>
      <c r="X18" s="7">
        <v>0.96365708574645292</v>
      </c>
      <c r="Y18" s="7">
        <v>0.68677681659081813</v>
      </c>
      <c r="Z18" s="7">
        <v>0.68677681659081813</v>
      </c>
      <c r="AA18" s="7">
        <v>-5.531824881142887</v>
      </c>
      <c r="AB18" s="7">
        <v>1.0574348476619697</v>
      </c>
      <c r="AC18" s="7">
        <v>1.0574348476619697</v>
      </c>
      <c r="AD18" s="7">
        <v>13.110568733402921</v>
      </c>
      <c r="AE18" s="7">
        <v>0.45617179389651491</v>
      </c>
      <c r="AF18" s="7">
        <v>0.45617179389651491</v>
      </c>
      <c r="AG18" s="7">
        <v>31.208089128728115</v>
      </c>
      <c r="AH18" s="7">
        <v>1.7212425354046954</v>
      </c>
      <c r="AI18" s="7">
        <v>1.7212425354046954</v>
      </c>
      <c r="AJ18" s="7">
        <v>7.7797864895810482</v>
      </c>
    </row>
    <row r="19" spans="4:36" x14ac:dyDescent="0.2">
      <c r="D19" s="7">
        <v>6775.3879364613877</v>
      </c>
      <c r="E19" s="7">
        <v>6775.3879364613877</v>
      </c>
      <c r="F19" s="7">
        <v>7549.7732658326995</v>
      </c>
      <c r="G19" s="7">
        <v>-113.0562528858718</v>
      </c>
      <c r="H19" s="7">
        <v>-113.0562528858718</v>
      </c>
      <c r="I19" s="7">
        <v>0</v>
      </c>
      <c r="J19" s="7">
        <v>-3951.3560684983531</v>
      </c>
      <c r="K19" s="7">
        <v>-3951.3560684983531</v>
      </c>
      <c r="L19" s="7">
        <v>0</v>
      </c>
      <c r="M19" s="7">
        <v>-164.61548935649262</v>
      </c>
      <c r="N19" s="7">
        <v>-164.61548935649262</v>
      </c>
      <c r="O19" s="7">
        <v>-173.76886253332486</v>
      </c>
      <c r="P19" s="7">
        <v>-3980.4278080708173</v>
      </c>
      <c r="Q19" s="7">
        <v>-3980.4278080708173</v>
      </c>
      <c r="R19">
        <v>0</v>
      </c>
      <c r="S19" s="7">
        <v>1.0593569126314808</v>
      </c>
      <c r="T19" s="7">
        <v>1.0593569126314808</v>
      </c>
      <c r="U19" s="7">
        <v>-5.6415540620440714</v>
      </c>
      <c r="V19" s="7">
        <v>0.977860802613716</v>
      </c>
      <c r="W19" s="7">
        <v>0.977860802613716</v>
      </c>
      <c r="X19" s="7">
        <v>0.96365708574645292</v>
      </c>
      <c r="Y19" s="7">
        <v>1.0848195973978998</v>
      </c>
      <c r="Z19" s="7">
        <v>1.0848195973978998</v>
      </c>
      <c r="AA19" s="7">
        <v>-5.531824881142887</v>
      </c>
      <c r="AB19" s="7">
        <v>1.0738963965976189</v>
      </c>
      <c r="AC19" s="7">
        <v>1.0738963965976189</v>
      </c>
      <c r="AD19" s="7">
        <v>13.127945619656254</v>
      </c>
      <c r="AE19" s="7">
        <v>1.1492111394615652</v>
      </c>
      <c r="AF19" s="7">
        <v>1.1492111394615652</v>
      </c>
      <c r="AG19" s="7">
        <v>31.208089128728115</v>
      </c>
      <c r="AH19" s="7">
        <v>2.1346989588002172</v>
      </c>
      <c r="AI19" s="7">
        <v>2.1346989588002172</v>
      </c>
      <c r="AJ19" s="7">
        <v>7.7971633758343808</v>
      </c>
    </row>
    <row r="20" spans="4:36" x14ac:dyDescent="0.2">
      <c r="D20" s="7">
        <v>1261.8409576044596</v>
      </c>
      <c r="E20" s="7">
        <v>1261.8409576044596</v>
      </c>
      <c r="F20" s="7">
        <v>1216.0601767056517</v>
      </c>
      <c r="G20" s="7">
        <v>-77.059024703044088</v>
      </c>
      <c r="H20" s="7">
        <v>-77.059024703044088</v>
      </c>
      <c r="I20" s="7">
        <v>0</v>
      </c>
      <c r="J20" s="7">
        <v>-692.68390216509488</v>
      </c>
      <c r="K20" s="7">
        <v>-692.68390216509488</v>
      </c>
      <c r="L20" s="7">
        <v>0</v>
      </c>
      <c r="M20" s="7">
        <v>-71.034801572068318</v>
      </c>
      <c r="N20" s="7">
        <v>-71.034801572068318</v>
      </c>
      <c r="O20" s="7">
        <v>-69.734108760690106</v>
      </c>
      <c r="P20" s="7">
        <v>-745.72310476312396</v>
      </c>
      <c r="Q20" s="7">
        <v>-745.72310476312396</v>
      </c>
      <c r="R20">
        <v>0</v>
      </c>
      <c r="S20" s="7">
        <v>1.1286253028479902</v>
      </c>
      <c r="T20" s="7">
        <v>1.1286253028479902</v>
      </c>
      <c r="U20" s="7">
        <v>-5.6415540620440714</v>
      </c>
      <c r="V20" s="7">
        <v>0.98556670508402044</v>
      </c>
      <c r="W20" s="7">
        <v>0.98556670508402044</v>
      </c>
      <c r="X20" s="7">
        <v>0.96365708574645292</v>
      </c>
      <c r="Y20" s="7">
        <v>1.1593919078742121</v>
      </c>
      <c r="Z20" s="7">
        <v>1.1593919078742121</v>
      </c>
      <c r="AA20" s="7">
        <v>-5.531824881142887</v>
      </c>
      <c r="AB20" s="7">
        <v>1.0809998767548257</v>
      </c>
      <c r="AC20" s="7">
        <v>1.0809998767548257</v>
      </c>
      <c r="AD20" s="7">
        <v>13.134919030532323</v>
      </c>
      <c r="AE20" s="7">
        <v>1.3085190431440419</v>
      </c>
      <c r="AF20" s="7">
        <v>1.3085190431440419</v>
      </c>
      <c r="AG20" s="7">
        <v>31.208089128728115</v>
      </c>
      <c r="AH20" s="7">
        <v>2.2236579392994891</v>
      </c>
      <c r="AI20" s="7">
        <v>2.2236579392994891</v>
      </c>
      <c r="AJ20" s="7">
        <v>7.8041367867104503</v>
      </c>
    </row>
    <row r="21" spans="4:36" x14ac:dyDescent="0.2">
      <c r="D21" s="7">
        <v>2921.6855581907612</v>
      </c>
      <c r="E21" s="7">
        <v>2921.6855581907612</v>
      </c>
      <c r="F21" s="7">
        <v>8623.9232634657856</v>
      </c>
      <c r="G21" s="7">
        <v>-125.32289489809045</v>
      </c>
      <c r="H21" s="7">
        <v>-125.32289489809045</v>
      </c>
      <c r="I21" s="7">
        <v>0</v>
      </c>
      <c r="J21" s="7">
        <v>-4743.3707004039206</v>
      </c>
      <c r="K21" s="7">
        <v>-4743.3707004039206</v>
      </c>
      <c r="L21" s="7">
        <v>0</v>
      </c>
      <c r="M21" s="7">
        <v>-108.09523684251872</v>
      </c>
      <c r="N21" s="7">
        <v>-108.09523684251872</v>
      </c>
      <c r="O21" s="7">
        <v>-185.72016193866148</v>
      </c>
      <c r="P21" s="7">
        <v>-4723.6878482812699</v>
      </c>
      <c r="Q21" s="7">
        <v>-4723.6878482812699</v>
      </c>
      <c r="R21">
        <v>0</v>
      </c>
      <c r="S21" s="7">
        <v>1.6029623728883824</v>
      </c>
      <c r="T21" s="7">
        <v>1.6029623728883824</v>
      </c>
      <c r="U21" s="7">
        <v>-5.6415540620440714</v>
      </c>
      <c r="V21" s="7">
        <v>0.99809899457382945</v>
      </c>
      <c r="W21" s="7">
        <v>0.99809899457382945</v>
      </c>
      <c r="X21" s="7">
        <v>0.96365708574645292</v>
      </c>
      <c r="Y21" s="7">
        <v>1.6317606927023391</v>
      </c>
      <c r="Z21" s="7">
        <v>1.6317606927023391</v>
      </c>
      <c r="AA21" s="7">
        <v>-5.531824881142887</v>
      </c>
      <c r="AB21" s="7">
        <v>1.0918094004390775</v>
      </c>
      <c r="AC21" s="7">
        <v>1.0918094004390775</v>
      </c>
      <c r="AD21" s="7">
        <v>13.15349104672619</v>
      </c>
      <c r="AE21" s="7">
        <v>2.6156509919601323</v>
      </c>
      <c r="AF21" s="7">
        <v>2.6156509919601323</v>
      </c>
      <c r="AG21" s="7">
        <v>31.208089128728115</v>
      </c>
      <c r="AH21" s="7">
        <v>2.7204681072103778</v>
      </c>
      <c r="AI21" s="7">
        <v>2.7204681072103778</v>
      </c>
      <c r="AJ21" s="7">
        <v>7.8227088029043168</v>
      </c>
    </row>
    <row r="22" spans="4:36" x14ac:dyDescent="0.2">
      <c r="D22" s="7">
        <v>3.6438322668580048E-2</v>
      </c>
      <c r="E22" s="7">
        <v>3.6438322668580048E-2</v>
      </c>
      <c r="F22" s="7">
        <v>10992.790439688926</v>
      </c>
      <c r="G22" s="7">
        <v>-0.59634144523602706</v>
      </c>
      <c r="H22" s="7">
        <v>-0.59634144523602706</v>
      </c>
      <c r="I22" s="7">
        <v>0</v>
      </c>
      <c r="J22" s="7">
        <v>24.138181179691202</v>
      </c>
      <c r="K22" s="7">
        <v>24.138181179691202</v>
      </c>
      <c r="L22" s="7">
        <v>0</v>
      </c>
      <c r="M22" s="7">
        <v>-0.37177649308785599</v>
      </c>
      <c r="N22" s="7">
        <v>-0.37177649308785599</v>
      </c>
      <c r="O22" s="7">
        <v>-209.68301790671831</v>
      </c>
      <c r="P22" s="7">
        <v>23.855303876741612</v>
      </c>
      <c r="Q22" s="7">
        <v>23.855303876741612</v>
      </c>
      <c r="R22">
        <v>0</v>
      </c>
      <c r="S22" s="7">
        <v>1.6005485547704132</v>
      </c>
      <c r="T22" s="7">
        <v>1.6005485547704132</v>
      </c>
      <c r="U22" s="7">
        <v>-5.6415540620440714</v>
      </c>
      <c r="V22" s="7">
        <v>0.99815862871835304</v>
      </c>
      <c r="W22" s="7">
        <v>0.99815862871835304</v>
      </c>
      <c r="X22" s="7">
        <v>0.96365708574645292</v>
      </c>
      <c r="Y22" s="7">
        <v>1.6293751623146651</v>
      </c>
      <c r="Z22" s="7">
        <v>1.6293751623146651</v>
      </c>
      <c r="AA22" s="7">
        <v>-5.531824881142887</v>
      </c>
      <c r="AB22" s="7">
        <v>1.0918465780883864</v>
      </c>
      <c r="AC22" s="7">
        <v>1.0918465780883864</v>
      </c>
      <c r="AD22" s="7">
        <v>13.174459348516862</v>
      </c>
      <c r="AE22" s="7">
        <v>2.6078940612215447</v>
      </c>
      <c r="AF22" s="7">
        <v>2.6078940612215447</v>
      </c>
      <c r="AG22" s="7">
        <v>31.208089128728115</v>
      </c>
      <c r="AH22" s="7">
        <v>2.7182214557721363</v>
      </c>
      <c r="AI22" s="7">
        <v>2.7182214557721363</v>
      </c>
      <c r="AJ22" s="7">
        <v>7.8436771046949891</v>
      </c>
    </row>
    <row r="23" spans="4:36" x14ac:dyDescent="0.2">
      <c r="D23" s="7">
        <v>1082.3924654702059</v>
      </c>
      <c r="E23" s="7">
        <v>1082.3924654702059</v>
      </c>
      <c r="F23" s="7">
        <v>46150.012916202038</v>
      </c>
      <c r="G23" s="7">
        <v>107.23856591200729</v>
      </c>
      <c r="H23" s="7">
        <v>107.23856591200729</v>
      </c>
      <c r="I23" s="7">
        <v>0</v>
      </c>
      <c r="J23" s="7">
        <v>10874.192874252503</v>
      </c>
      <c r="K23" s="7">
        <v>10874.192874252503</v>
      </c>
      <c r="L23" s="7">
        <v>0</v>
      </c>
      <c r="M23" s="7">
        <v>65.809467033363944</v>
      </c>
      <c r="N23" s="7">
        <v>65.809467033363944</v>
      </c>
      <c r="O23" s="7">
        <v>-429.64108130327077</v>
      </c>
      <c r="P23" s="7">
        <v>10746.138138121432</v>
      </c>
      <c r="Q23" s="7">
        <v>10746.138138121432</v>
      </c>
      <c r="R23">
        <v>0</v>
      </c>
      <c r="S23" s="7">
        <v>0.51312926734516284</v>
      </c>
      <c r="T23" s="7">
        <v>0.51312926734516284</v>
      </c>
      <c r="U23" s="7">
        <v>-5.6415540620440714</v>
      </c>
      <c r="V23" s="7">
        <v>0.98743477212715236</v>
      </c>
      <c r="W23" s="7">
        <v>0.98743477212715236</v>
      </c>
      <c r="X23" s="7">
        <v>0.96365708574645292</v>
      </c>
      <c r="Y23" s="7">
        <v>0.55476134850252179</v>
      </c>
      <c r="Z23" s="7">
        <v>0.55476134850252179</v>
      </c>
      <c r="AA23" s="7">
        <v>-5.531824881142887</v>
      </c>
      <c r="AB23" s="7">
        <v>1.0852656313850499</v>
      </c>
      <c r="AC23" s="7">
        <v>1.0852656313850499</v>
      </c>
      <c r="AD23" s="7">
        <v>13.21742345664719</v>
      </c>
      <c r="AE23" s="7">
        <v>0.28466428430851354</v>
      </c>
      <c r="AF23" s="7">
        <v>0.28466428430851354</v>
      </c>
      <c r="AG23" s="7">
        <v>31.208089128728115</v>
      </c>
      <c r="AH23" s="7">
        <v>1.6330562771285893</v>
      </c>
      <c r="AI23" s="7">
        <v>1.6330562771285893</v>
      </c>
      <c r="AJ23" s="7">
        <v>7.8866412128253165</v>
      </c>
    </row>
    <row r="24" spans="4:36" x14ac:dyDescent="0.2">
      <c r="D24" s="7">
        <v>2567.0747690727326</v>
      </c>
      <c r="E24" s="7">
        <v>2567.0747690727326</v>
      </c>
      <c r="F24" s="7">
        <v>1830.3488556878422</v>
      </c>
      <c r="G24" s="7">
        <v>-56.21234112768434</v>
      </c>
      <c r="H24" s="7">
        <v>-56.21234112768434</v>
      </c>
      <c r="I24" s="7">
        <v>0</v>
      </c>
      <c r="J24" s="7">
        <v>-730.28032882039042</v>
      </c>
      <c r="K24" s="7">
        <v>-730.28032882039042</v>
      </c>
      <c r="L24" s="7">
        <v>0</v>
      </c>
      <c r="M24" s="7">
        <v>-101.3226160537215</v>
      </c>
      <c r="N24" s="7">
        <v>-101.3226160537215</v>
      </c>
      <c r="O24" s="7">
        <v>-85.555153086693281</v>
      </c>
      <c r="P24" s="7">
        <v>-775.43038479016104</v>
      </c>
      <c r="Q24" s="7">
        <v>-775.43038479016104</v>
      </c>
      <c r="R24">
        <v>0</v>
      </c>
      <c r="S24" s="7">
        <v>0.58615730022720192</v>
      </c>
      <c r="T24" s="7">
        <v>0.58615730022720192</v>
      </c>
      <c r="U24" s="7">
        <v>-5.6415540620440714</v>
      </c>
      <c r="V24" s="7">
        <v>0.99305600623992074</v>
      </c>
      <c r="W24" s="7">
        <v>0.99305600623992074</v>
      </c>
      <c r="X24" s="7">
        <v>0.96365708574645292</v>
      </c>
      <c r="Y24" s="7">
        <v>0.6323043869815379</v>
      </c>
      <c r="Z24" s="7">
        <v>0.6323043869815379</v>
      </c>
      <c r="AA24" s="7">
        <v>-5.531824881142887</v>
      </c>
      <c r="AB24" s="7">
        <v>1.095397892990422</v>
      </c>
      <c r="AC24" s="7">
        <v>1.095397892990422</v>
      </c>
      <c r="AD24" s="7">
        <v>13.225978971955859</v>
      </c>
      <c r="AE24" s="7">
        <v>0.37062983239491415</v>
      </c>
      <c r="AF24" s="7">
        <v>0.37062983239491415</v>
      </c>
      <c r="AG24" s="7">
        <v>31.208089128728115</v>
      </c>
      <c r="AH24" s="7">
        <v>1.7233115622542894</v>
      </c>
      <c r="AI24" s="7">
        <v>1.7233115622542894</v>
      </c>
      <c r="AJ24" s="7">
        <v>7.8951967281339863</v>
      </c>
    </row>
    <row r="25" spans="4:36" x14ac:dyDescent="0.2">
      <c r="D25" s="7">
        <v>3905.4327874275641</v>
      </c>
      <c r="E25" s="7">
        <v>3905.4327874275641</v>
      </c>
      <c r="F25" s="7">
        <v>3454.3855478049745</v>
      </c>
      <c r="G25" s="7">
        <v>-79.025782218332097</v>
      </c>
      <c r="H25" s="7">
        <v>-79.025782218332097</v>
      </c>
      <c r="I25" s="7">
        <v>0</v>
      </c>
      <c r="J25" s="7">
        <v>-1657.8622294664001</v>
      </c>
      <c r="K25" s="7">
        <v>-1657.8622294664001</v>
      </c>
      <c r="L25" s="7">
        <v>0</v>
      </c>
      <c r="M25" s="7">
        <v>-124.97692391489181</v>
      </c>
      <c r="N25" s="7">
        <v>-124.97692391489181</v>
      </c>
      <c r="O25" s="7">
        <v>-117.53804205604865</v>
      </c>
      <c r="P25" s="7">
        <v>-1660.8514434616609</v>
      </c>
      <c r="Q25" s="7">
        <v>-1660.8514434616609</v>
      </c>
      <c r="R25">
        <v>0</v>
      </c>
      <c r="S25" s="7">
        <v>0.75194352317384194</v>
      </c>
      <c r="T25" s="7">
        <v>0.75194352317384194</v>
      </c>
      <c r="U25" s="7">
        <v>-5.6415540620440714</v>
      </c>
      <c r="V25" s="7">
        <v>1.0009585844617539</v>
      </c>
      <c r="W25" s="7">
        <v>1.0009585844617539</v>
      </c>
      <c r="X25" s="7">
        <v>0.96365708574645292</v>
      </c>
      <c r="Y25" s="7">
        <v>0.79838953132770396</v>
      </c>
      <c r="Z25" s="7">
        <v>0.79838953132770396</v>
      </c>
      <c r="AA25" s="7">
        <v>-5.531824881142887</v>
      </c>
      <c r="AB25" s="7">
        <v>1.1078955853819112</v>
      </c>
      <c r="AC25" s="7">
        <v>1.1078955853819112</v>
      </c>
      <c r="AD25" s="7">
        <v>13.237732776161463</v>
      </c>
      <c r="AE25" s="7">
        <v>0.60034383705166616</v>
      </c>
      <c r="AF25" s="7">
        <v>0.60034383705166616</v>
      </c>
      <c r="AG25" s="7">
        <v>31.208089128728115</v>
      </c>
      <c r="AH25" s="7">
        <v>1.9070504405087729</v>
      </c>
      <c r="AI25" s="7">
        <v>1.9070504405087729</v>
      </c>
      <c r="AJ25" s="7">
        <v>7.9069505323395903</v>
      </c>
    </row>
    <row r="26" spans="4:36" x14ac:dyDescent="0.2">
      <c r="D26" s="7">
        <v>4527.045435778814</v>
      </c>
      <c r="E26" s="7">
        <v>4527.045435778814</v>
      </c>
      <c r="F26" s="7">
        <v>5294.3475315532878</v>
      </c>
      <c r="G26" s="7">
        <v>-107.43022577207739</v>
      </c>
      <c r="H26" s="7">
        <v>-107.43022577207739</v>
      </c>
      <c r="I26" s="7">
        <v>0</v>
      </c>
      <c r="J26" s="7">
        <v>-3003.2273822358547</v>
      </c>
      <c r="K26" s="7">
        <v>-3003.2273822358547</v>
      </c>
      <c r="L26" s="7">
        <v>0</v>
      </c>
      <c r="M26" s="7">
        <v>-134.55664424418501</v>
      </c>
      <c r="N26" s="7">
        <v>-134.55664424418501</v>
      </c>
      <c r="O26" s="7">
        <v>-145.5145344475568</v>
      </c>
      <c r="P26" s="7">
        <v>-2963.0537051777537</v>
      </c>
      <c r="Q26" s="7">
        <v>-2963.0537051777537</v>
      </c>
      <c r="R26">
        <v>0</v>
      </c>
      <c r="S26" s="7">
        <v>1.0522662613974274</v>
      </c>
      <c r="T26" s="7">
        <v>1.0522662613974274</v>
      </c>
      <c r="U26" s="7">
        <v>-5.6415540620440714</v>
      </c>
      <c r="V26" s="7">
        <v>1.0117016070389617</v>
      </c>
      <c r="W26" s="7">
        <v>1.0117016070389617</v>
      </c>
      <c r="X26" s="7">
        <v>0.96365708574645292</v>
      </c>
      <c r="Y26" s="7">
        <v>1.0946949018454792</v>
      </c>
      <c r="Z26" s="7">
        <v>1.0946949018454792</v>
      </c>
      <c r="AA26" s="7">
        <v>-5.531824881142887</v>
      </c>
      <c r="AB26" s="7">
        <v>1.1213512498063298</v>
      </c>
      <c r="AC26" s="7">
        <v>1.1213512498063298</v>
      </c>
      <c r="AD26" s="7">
        <v>13.25228422960622</v>
      </c>
      <c r="AE26" s="7">
        <v>1.1519105117357662</v>
      </c>
      <c r="AF26" s="7">
        <v>1.1519105117357662</v>
      </c>
      <c r="AG26" s="7">
        <v>31.208089128728115</v>
      </c>
      <c r="AH26" s="7">
        <v>2.22885584122076</v>
      </c>
      <c r="AI26" s="7">
        <v>2.22885584122076</v>
      </c>
      <c r="AJ26" s="7">
        <v>7.9215019857843467</v>
      </c>
    </row>
    <row r="27" spans="4:36" x14ac:dyDescent="0.2">
      <c r="D27" s="7">
        <v>2001.0353774546682</v>
      </c>
      <c r="E27" s="7">
        <v>2001.0353774546682</v>
      </c>
      <c r="F27" s="7">
        <v>3220.303245157399</v>
      </c>
      <c r="G27" s="7">
        <v>-97.925845853296778</v>
      </c>
      <c r="H27" s="7">
        <v>-97.925845853296778</v>
      </c>
      <c r="I27" s="7">
        <v>0</v>
      </c>
      <c r="J27" s="7">
        <v>-1953.9631607380215</v>
      </c>
      <c r="K27" s="7">
        <v>-1953.9631607380215</v>
      </c>
      <c r="L27" s="7">
        <v>0</v>
      </c>
      <c r="M27" s="7">
        <v>-89.455867848096204</v>
      </c>
      <c r="N27" s="7">
        <v>-89.455867848096204</v>
      </c>
      <c r="O27" s="7">
        <v>-113.48543154081199</v>
      </c>
      <c r="P27" s="7">
        <v>-1968.4859236135935</v>
      </c>
      <c r="Q27" s="7">
        <v>-1968.4859236135935</v>
      </c>
      <c r="R27">
        <v>0</v>
      </c>
      <c r="S27" s="7">
        <v>1.2476625774712296</v>
      </c>
      <c r="T27" s="7">
        <v>1.2476625774712296</v>
      </c>
      <c r="U27" s="7">
        <v>-5.6415540620440714</v>
      </c>
      <c r="V27" s="7">
        <v>1.0214941916242914</v>
      </c>
      <c r="W27" s="7">
        <v>1.0214941916242914</v>
      </c>
      <c r="X27" s="7">
        <v>0.96365708574645292</v>
      </c>
      <c r="Y27" s="7">
        <v>1.2915434942068387</v>
      </c>
      <c r="Z27" s="7">
        <v>1.2915434942068387</v>
      </c>
      <c r="AA27" s="7">
        <v>-5.531824881142887</v>
      </c>
      <c r="AB27" s="7">
        <v>1.1302968365911394</v>
      </c>
      <c r="AC27" s="7">
        <v>1.1302968365911394</v>
      </c>
      <c r="AD27" s="7">
        <v>13.263632772760301</v>
      </c>
      <c r="AE27" s="7">
        <v>1.6114104848983024</v>
      </c>
      <c r="AF27" s="7">
        <v>1.6114104848983024</v>
      </c>
      <c r="AG27" s="7">
        <v>31.208089128728115</v>
      </c>
      <c r="AH27" s="7">
        <v>2.4496010141535667</v>
      </c>
      <c r="AI27" s="7">
        <v>2.4496010141535667</v>
      </c>
      <c r="AJ27" s="7">
        <v>7.9328505289384283</v>
      </c>
    </row>
    <row r="28" spans="4:36" x14ac:dyDescent="0.2">
      <c r="D28" s="7">
        <v>939.98133912342826</v>
      </c>
      <c r="E28" s="7">
        <v>939.98133912342826</v>
      </c>
      <c r="F28" s="7">
        <v>1071.6697392366932</v>
      </c>
      <c r="G28" s="7">
        <v>-79.178480462314837</v>
      </c>
      <c r="H28" s="7">
        <v>-79.178480462314837</v>
      </c>
      <c r="I28" s="7">
        <v>0</v>
      </c>
      <c r="J28" s="7">
        <v>-632.49371632396105</v>
      </c>
      <c r="K28" s="7">
        <v>-632.49371632396105</v>
      </c>
      <c r="L28" s="7">
        <v>0</v>
      </c>
      <c r="M28" s="7">
        <v>-61.308230213330717</v>
      </c>
      <c r="N28" s="7">
        <v>-61.308230213330717</v>
      </c>
      <c r="O28" s="7">
        <v>-65.462734454467864</v>
      </c>
      <c r="P28" s="7">
        <v>-673.4612902983713</v>
      </c>
      <c r="Q28" s="7">
        <v>-673.4612902983713</v>
      </c>
      <c r="R28">
        <v>0</v>
      </c>
      <c r="S28" s="7">
        <v>1.3109119491036256</v>
      </c>
      <c r="T28" s="7">
        <v>1.3109119491036256</v>
      </c>
      <c r="U28" s="7">
        <v>-5.6415540620440714</v>
      </c>
      <c r="V28" s="7">
        <v>1.0294120396705229</v>
      </c>
      <c r="W28" s="7">
        <v>1.0294120396705229</v>
      </c>
      <c r="X28" s="7">
        <v>0.96365708574645292</v>
      </c>
      <c r="Y28" s="7">
        <v>1.3588896232366758</v>
      </c>
      <c r="Z28" s="7">
        <v>1.3588896232366758</v>
      </c>
      <c r="AA28" s="7">
        <v>-5.531824881142887</v>
      </c>
      <c r="AB28" s="7">
        <v>1.1364276596124725</v>
      </c>
      <c r="AC28" s="7">
        <v>1.1364276596124725</v>
      </c>
      <c r="AD28" s="7">
        <v>13.270179046205747</v>
      </c>
      <c r="AE28" s="7">
        <v>1.7813846446138821</v>
      </c>
      <c r="AF28" s="7">
        <v>1.7813846446138821</v>
      </c>
      <c r="AG28" s="7">
        <v>31.208089128728115</v>
      </c>
      <c r="AH28" s="7">
        <v>2.5352849983556474</v>
      </c>
      <c r="AI28" s="7">
        <v>2.5352849983556474</v>
      </c>
      <c r="AJ28" s="7">
        <v>7.9393968023838744</v>
      </c>
    </row>
    <row r="29" spans="4:36" x14ac:dyDescent="0.2">
      <c r="D29" s="7">
        <v>1718.6080403554154</v>
      </c>
      <c r="E29" s="7">
        <v>1718.6080403554154</v>
      </c>
      <c r="F29" s="7">
        <v>20946.721073317342</v>
      </c>
      <c r="G29" s="7">
        <v>-112.65005628492872</v>
      </c>
      <c r="H29" s="7">
        <v>-112.65005628492872</v>
      </c>
      <c r="I29" s="7">
        <v>0</v>
      </c>
      <c r="J29" s="7">
        <v>-7135.1494559749199</v>
      </c>
      <c r="K29" s="7">
        <v>-7135.1494559749199</v>
      </c>
      <c r="L29" s="7">
        <v>0</v>
      </c>
      <c r="M29" s="7">
        <v>-82.902195492738429</v>
      </c>
      <c r="N29" s="7">
        <v>-82.902195492738429</v>
      </c>
      <c r="O29" s="7">
        <v>-289.44964190741302</v>
      </c>
      <c r="P29" s="7">
        <v>-6969.4211586438087</v>
      </c>
      <c r="Q29" s="7">
        <v>-6969.4211586438087</v>
      </c>
      <c r="R29">
        <v>0</v>
      </c>
      <c r="S29" s="7">
        <v>2.0244268947011177</v>
      </c>
      <c r="T29" s="7">
        <v>2.0244268947011177</v>
      </c>
      <c r="U29" s="7">
        <v>-5.6415540620440714</v>
      </c>
      <c r="V29" s="7">
        <v>1.0406770452990157</v>
      </c>
      <c r="W29" s="7">
        <v>1.0406770452990157</v>
      </c>
      <c r="X29" s="7">
        <v>0.96365708574645292</v>
      </c>
      <c r="Y29" s="7">
        <v>2.0558317391010568</v>
      </c>
      <c r="Z29" s="7">
        <v>2.0558317391010568</v>
      </c>
      <c r="AA29" s="7">
        <v>-5.531824881142887</v>
      </c>
      <c r="AB29" s="7">
        <v>1.1447178791617463</v>
      </c>
      <c r="AC29" s="7">
        <v>1.1447178791617463</v>
      </c>
      <c r="AD29" s="7">
        <v>13.299124010396488</v>
      </c>
      <c r="AE29" s="7">
        <v>4.1618810636163506</v>
      </c>
      <c r="AF29" s="7">
        <v>4.1618810636163506</v>
      </c>
      <c r="AG29" s="7">
        <v>31.208089128728115</v>
      </c>
      <c r="AH29" s="7">
        <v>3.2841747790413711</v>
      </c>
      <c r="AI29" s="7">
        <v>3.2841747790413711</v>
      </c>
      <c r="AJ29" s="7">
        <v>7.968341766574615</v>
      </c>
    </row>
    <row r="30" spans="4:36" x14ac:dyDescent="0.2">
      <c r="D30" s="7">
        <v>35085.185977028334</v>
      </c>
      <c r="E30" s="7">
        <v>35085.185977028334</v>
      </c>
      <c r="F30" s="7">
        <v>46096.466150703105</v>
      </c>
      <c r="G30" s="7">
        <v>770.19959552562796</v>
      </c>
      <c r="H30" s="7">
        <v>770.19959552562796</v>
      </c>
      <c r="I30" s="7">
        <v>0</v>
      </c>
      <c r="J30" s="7">
        <v>76659.809567451885</v>
      </c>
      <c r="K30" s="7">
        <v>76659.809567451885</v>
      </c>
      <c r="L30" s="7">
        <v>0</v>
      </c>
      <c r="M30" s="7">
        <v>374.63080015368178</v>
      </c>
      <c r="N30" s="7">
        <v>374.63080015368178</v>
      </c>
      <c r="O30" s="7">
        <v>-429.39175197898294</v>
      </c>
      <c r="P30" s="7">
        <v>75876.566202439426</v>
      </c>
      <c r="Q30" s="7">
        <v>75876.566202439426</v>
      </c>
      <c r="R30">
        <v>0</v>
      </c>
      <c r="S30" s="7">
        <v>-5.6415540620440714</v>
      </c>
      <c r="T30" s="7">
        <v>-5.6415540620440714</v>
      </c>
      <c r="U30" s="7">
        <v>-5.6415540620440714</v>
      </c>
      <c r="V30" s="7">
        <v>0.96365708574645292</v>
      </c>
      <c r="W30" s="7">
        <v>0.96365708574645292</v>
      </c>
      <c r="X30" s="7">
        <v>0.96365708574645292</v>
      </c>
      <c r="Y30" s="7">
        <v>-5.531824881142887</v>
      </c>
      <c r="Z30" s="7">
        <v>-5.531824881142887</v>
      </c>
      <c r="AA30" s="7">
        <v>-5.531824881142887</v>
      </c>
      <c r="AB30" s="7">
        <v>1.1072547991463781</v>
      </c>
      <c r="AC30" s="7">
        <v>1.1072547991463781</v>
      </c>
      <c r="AD30" s="7">
        <v>13.342063185594386</v>
      </c>
      <c r="AE30" s="7">
        <v>31.208089128728115</v>
      </c>
      <c r="AF30" s="7">
        <v>31.208089128728115</v>
      </c>
      <c r="AG30" s="7">
        <v>31.208089128728115</v>
      </c>
      <c r="AH30" s="7">
        <v>-4.2235274446754953</v>
      </c>
      <c r="AI30" s="7">
        <v>-4.2235274446754953</v>
      </c>
      <c r="AJ30" s="7">
        <v>8.0112809417725117</v>
      </c>
    </row>
    <row r="31" spans="4:36" x14ac:dyDescent="0.2">
      <c r="D31" s="7">
        <v>4041477.8179477137</v>
      </c>
      <c r="E31" s="7">
        <v>28524.759381480464</v>
      </c>
      <c r="F31" s="7">
        <v>24541.709166946301</v>
      </c>
      <c r="G31" s="7">
        <v>-22241.421652119607</v>
      </c>
      <c r="H31" s="7">
        <v>0</v>
      </c>
      <c r="I31" s="7">
        <v>0</v>
      </c>
      <c r="J31" s="7">
        <v>-1555421.4831660502</v>
      </c>
      <c r="K31" s="7">
        <v>0</v>
      </c>
      <c r="L31" s="7">
        <v>0</v>
      </c>
      <c r="M31" s="7">
        <v>4020.6954232417047</v>
      </c>
      <c r="N31" s="7">
        <v>-337.77549040132726</v>
      </c>
      <c r="O31" s="7">
        <v>-313.30587362826918</v>
      </c>
      <c r="P31" s="7">
        <v>-1582377.5030446239</v>
      </c>
      <c r="Q31" s="7">
        <v>0</v>
      </c>
      <c r="R31">
        <v>0</v>
      </c>
      <c r="S31" s="7">
        <v>149.90059425456096</v>
      </c>
      <c r="T31" s="7">
        <v>-5.6415540620440714</v>
      </c>
      <c r="U31" s="7">
        <v>-5.6415540620440714</v>
      </c>
      <c r="V31" s="7">
        <v>3.1877992509584137</v>
      </c>
      <c r="W31" s="7">
        <v>0.96365708574645292</v>
      </c>
      <c r="X31" s="7">
        <v>0.96365708574645292</v>
      </c>
      <c r="Y31" s="7">
        <v>152.70592542331951</v>
      </c>
      <c r="Z31" s="7">
        <v>-5.531824881142887</v>
      </c>
      <c r="AA31" s="7">
        <v>-5.531824881142887</v>
      </c>
      <c r="AB31" s="7">
        <v>0.70518525682220767</v>
      </c>
      <c r="AC31" s="7">
        <v>1.1410323481865108</v>
      </c>
      <c r="AD31" s="7">
        <v>13.373393772957213</v>
      </c>
      <c r="AE31" s="7">
        <v>22890.708967148264</v>
      </c>
      <c r="AF31" s="7">
        <v>31.208089128728115</v>
      </c>
      <c r="AG31" s="7">
        <v>31.208089128728115</v>
      </c>
      <c r="AH31" s="7">
        <v>487.50101993819158</v>
      </c>
      <c r="AI31" s="7">
        <v>-4.1897498956353623</v>
      </c>
      <c r="AJ31" s="7">
        <v>8.0426115291353391</v>
      </c>
    </row>
    <row r="32" spans="4:36" x14ac:dyDescent="0.2">
      <c r="D32" s="7">
        <v>382483671798.12128</v>
      </c>
      <c r="E32" s="7">
        <v>6865.6085203242737</v>
      </c>
      <c r="F32" s="7">
        <v>4988.1175071497591</v>
      </c>
      <c r="G32" s="7">
        <v>188882999.57885742</v>
      </c>
      <c r="H32" s="7">
        <v>0</v>
      </c>
      <c r="I32" s="7">
        <v>0</v>
      </c>
      <c r="J32" s="7">
        <v>5100004689.0258789</v>
      </c>
      <c r="K32" s="7">
        <v>0</v>
      </c>
      <c r="L32" s="7">
        <v>0</v>
      </c>
      <c r="M32" s="7">
        <v>1236905.2978515625</v>
      </c>
      <c r="N32" s="7">
        <v>-165.70793530345327</v>
      </c>
      <c r="O32" s="7">
        <v>-141.24321245417377</v>
      </c>
      <c r="P32" s="7">
        <v>5010253682.6416016</v>
      </c>
      <c r="Q32" s="7">
        <v>0</v>
      </c>
      <c r="R32">
        <v>0</v>
      </c>
      <c r="S32" s="7">
        <v>-509850.56830833334</v>
      </c>
      <c r="T32" s="7">
        <v>-5.6415540620440714</v>
      </c>
      <c r="U32" s="7">
        <v>-5.6415540620440714</v>
      </c>
      <c r="V32" s="7">
        <v>-18885.112158634784</v>
      </c>
      <c r="W32" s="7">
        <v>0.96365708574645292</v>
      </c>
      <c r="X32" s="7">
        <v>0.96365708574645292</v>
      </c>
      <c r="Y32" s="7">
        <v>-500872.66233873687</v>
      </c>
      <c r="Z32" s="7">
        <v>-5.531824881142887</v>
      </c>
      <c r="AA32" s="7">
        <v>-5.531824881142887</v>
      </c>
      <c r="AB32" s="7">
        <v>-122.98534452833405</v>
      </c>
      <c r="AC32" s="7">
        <v>1.1576031417168562</v>
      </c>
      <c r="AD32" s="7">
        <v>13.38751809420263</v>
      </c>
      <c r="AE32" s="7">
        <v>255370211543.51294</v>
      </c>
      <c r="AF32" s="7">
        <v>31.208089128728115</v>
      </c>
      <c r="AG32" s="7">
        <v>31.208089128728115</v>
      </c>
      <c r="AH32" s="7">
        <v>9459036282.4757099</v>
      </c>
      <c r="AI32" s="7">
        <v>-4.1731791021050171</v>
      </c>
      <c r="AJ32" s="7">
        <v>8.0567358503807576</v>
      </c>
    </row>
    <row r="33" spans="4:36" x14ac:dyDescent="0.2">
      <c r="D33" s="7">
        <v>1.8929048468841924E+25</v>
      </c>
      <c r="E33" s="7">
        <v>3949.1668428939552</v>
      </c>
      <c r="F33" s="7">
        <v>2561.6233246646657</v>
      </c>
      <c r="G33" s="7">
        <v>-4.3583464104001536E+18</v>
      </c>
      <c r="H33" s="7">
        <v>0</v>
      </c>
      <c r="I33" s="7">
        <v>0</v>
      </c>
      <c r="J33" s="7">
        <v>-7.4091882963848397E+19</v>
      </c>
      <c r="K33" s="7">
        <v>0</v>
      </c>
      <c r="L33" s="7">
        <v>0</v>
      </c>
      <c r="M33" s="7">
        <v>8589934592000</v>
      </c>
      <c r="N33" s="7">
        <v>-125.67479371650734</v>
      </c>
      <c r="O33" s="7">
        <v>-101.21496381157158</v>
      </c>
      <c r="P33" s="7">
        <v>-7.5584273933297254E+19</v>
      </c>
      <c r="Q33" s="7">
        <v>0</v>
      </c>
      <c r="R33">
        <v>0</v>
      </c>
      <c r="S33" s="7">
        <v>7409188295874989</v>
      </c>
      <c r="T33" s="7">
        <v>-5.6415540620440714</v>
      </c>
      <c r="U33" s="7">
        <v>-5.6415540620440714</v>
      </c>
      <c r="V33" s="7">
        <v>435834641021130.25</v>
      </c>
      <c r="W33" s="7">
        <v>0.96365708574645292</v>
      </c>
      <c r="X33" s="7">
        <v>0.96365708574645292</v>
      </c>
      <c r="Y33" s="7">
        <v>7558427392828853</v>
      </c>
      <c r="Z33" s="7">
        <v>-5.531824881142887</v>
      </c>
      <c r="AA33" s="7">
        <v>-5.531824881142887</v>
      </c>
      <c r="AB33" s="7">
        <v>-858993582.18534458</v>
      </c>
      <c r="AC33" s="7">
        <v>1.170170621088507</v>
      </c>
      <c r="AD33" s="7">
        <v>13.397639590583786</v>
      </c>
      <c r="AE33" s="7">
        <v>5.600181177416845E+31</v>
      </c>
      <c r="AF33" s="7">
        <v>31.208089128728115</v>
      </c>
      <c r="AG33" s="7">
        <v>31.208089128728115</v>
      </c>
      <c r="AH33" s="7">
        <v>3.2942244894378404E+30</v>
      </c>
      <c r="AI33" s="7">
        <v>-4.1606116227333665</v>
      </c>
      <c r="AJ33" s="7">
        <v>8.066857346761914</v>
      </c>
    </row>
    <row r="34" spans="4:36" x14ac:dyDescent="0.2">
      <c r="D34" s="7">
        <v>2.0367955955909754E+65</v>
      </c>
      <c r="E34" s="7">
        <v>2009.7136021423157</v>
      </c>
      <c r="F34" s="7">
        <v>1062.9139042654697</v>
      </c>
      <c r="G34" s="7">
        <v>0</v>
      </c>
      <c r="H34" s="7">
        <v>0</v>
      </c>
      <c r="I34" s="7">
        <v>0</v>
      </c>
      <c r="J34" s="7">
        <v>0</v>
      </c>
      <c r="K34" s="7">
        <v>0</v>
      </c>
      <c r="L34" s="7">
        <v>0</v>
      </c>
      <c r="M34" s="7">
        <v>0</v>
      </c>
      <c r="N34" s="7">
        <v>-89.649658757798534</v>
      </c>
      <c r="O34" s="7">
        <v>-65.194720818817586</v>
      </c>
      <c r="P34" s="7">
        <v>0</v>
      </c>
      <c r="Q34" s="7">
        <v>0</v>
      </c>
      <c r="R34">
        <v>0</v>
      </c>
      <c r="S34" s="7">
        <v>7409188295874989</v>
      </c>
      <c r="T34" s="7">
        <v>-5.6415540620440714</v>
      </c>
      <c r="U34" s="7">
        <v>-5.6415540620440714</v>
      </c>
      <c r="V34" s="7">
        <v>435834641021130.25</v>
      </c>
      <c r="W34" s="7">
        <v>0.96365708574645292</v>
      </c>
      <c r="X34" s="7">
        <v>0.96365708574645292</v>
      </c>
      <c r="Y34" s="7">
        <v>7558427392828853</v>
      </c>
      <c r="Z34" s="7">
        <v>-5.531824881142887</v>
      </c>
      <c r="AA34" s="7">
        <v>-5.531824881142887</v>
      </c>
      <c r="AB34" s="7">
        <v>-858993582.18534458</v>
      </c>
      <c r="AC34" s="7">
        <v>1.1791355869642868</v>
      </c>
      <c r="AD34" s="7">
        <v>13.404159062665668</v>
      </c>
      <c r="AE34" s="7">
        <v>5.600181177416845E+31</v>
      </c>
      <c r="AF34" s="7">
        <v>31.208089128728115</v>
      </c>
      <c r="AG34" s="7">
        <v>31.208089128728115</v>
      </c>
      <c r="AH34" s="7">
        <v>3.2942244894378404E+30</v>
      </c>
      <c r="AI34" s="7">
        <v>-4.1516466568575865</v>
      </c>
      <c r="AJ34" s="7">
        <v>8.0733768188437942</v>
      </c>
    </row>
  </sheetData>
  <mergeCells count="4">
    <mergeCell ref="E3:F3"/>
    <mergeCell ref="H3:I3"/>
    <mergeCell ref="K3:L3"/>
    <mergeCell ref="N3:O3"/>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134</vt:i4>
      </vt:variant>
    </vt:vector>
  </HeadingPairs>
  <TitlesOfParts>
    <vt:vector size="150" baseType="lpstr">
      <vt:lpstr>Intro</vt:lpstr>
      <vt:lpstr>data</vt:lpstr>
      <vt:lpstr>basic SGD</vt:lpstr>
      <vt:lpstr>basic SGD est</vt:lpstr>
      <vt:lpstr>basic SGD 2 neuron collapse</vt:lpstr>
      <vt:lpstr>basic SGD 2 neuron ReLU</vt:lpstr>
      <vt:lpstr>momentum</vt:lpstr>
      <vt:lpstr>momentum ReLU 2 neuron</vt:lpstr>
      <vt:lpstr>Plot momentum</vt:lpstr>
      <vt:lpstr>adagrad</vt:lpstr>
      <vt:lpstr>rmsprop</vt:lpstr>
      <vt:lpstr>adam</vt:lpstr>
      <vt:lpstr>eve</vt:lpstr>
      <vt:lpstr>adagrad_ann</vt:lpstr>
      <vt:lpstr>adam_ann</vt:lpstr>
      <vt:lpstr>2 neuron compare by ReLU</vt:lpstr>
      <vt:lpstr>adam_ann!avg_grad2</vt:lpstr>
      <vt:lpstr>adagrad!const</vt:lpstr>
      <vt:lpstr>adagrad_ann!const</vt:lpstr>
      <vt:lpstr>adam!const</vt:lpstr>
      <vt:lpstr>adam_ann!const</vt:lpstr>
      <vt:lpstr>'basic SGD'!const</vt:lpstr>
      <vt:lpstr>'basic SGD 2 neuron collapse'!const</vt:lpstr>
      <vt:lpstr>'basic SGD 2 neuron ReLU'!const</vt:lpstr>
      <vt:lpstr>'basic SGD est'!const</vt:lpstr>
      <vt:lpstr>eve!const</vt:lpstr>
      <vt:lpstr>momentum!const</vt:lpstr>
      <vt:lpstr>'momentum ReLU 2 neuron'!const</vt:lpstr>
      <vt:lpstr>rmsprop!const</vt:lpstr>
      <vt:lpstr>'basic SGD 2 neuron ReLU'!const2</vt:lpstr>
      <vt:lpstr>'momentum ReLU 2 neuron'!const2</vt:lpstr>
      <vt:lpstr>const2</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'basic SGD 2 neuron collapse'!gradtarget</vt:lpstr>
      <vt:lpstr>'basic SGD 2 neuron ReLU'!gradtarget</vt:lpstr>
      <vt:lpstr>'basic SGD est'!gradtarget</vt:lpstr>
      <vt:lpstr>eve!gradtarget</vt:lpstr>
      <vt:lpstr>'momentum ReLU 2 neuron'!gradtarget</vt:lpstr>
      <vt:lpstr>rmsprop!gradtarget</vt:lpstr>
      <vt:lpstr>adagrad!histgrad</vt:lpstr>
      <vt:lpstr>adagrad_ann!histgrad</vt:lpstr>
      <vt:lpstr>adam!histgrad</vt:lpstr>
      <vt:lpstr>adam_ann!histgrad</vt:lpstr>
      <vt:lpstr>'basic SGD'!histgrad</vt:lpstr>
      <vt:lpstr>'basic SGD 2 neuron collapse'!histgrad</vt:lpstr>
      <vt:lpstr>'basic SGD 2 neuron ReLU'!histgrad</vt:lpstr>
      <vt:lpstr>'basic SGD est'!histgrad</vt:lpstr>
      <vt:lpstr>eve!histgrad</vt:lpstr>
      <vt:lpstr>momentum!histgrad</vt:lpstr>
      <vt:lpstr>'momentum ReLU 2 neuron'!histgrad</vt:lpstr>
      <vt:lpstr>rmsprop!histgrad</vt:lpstr>
      <vt:lpstr>adagrad!lastconst</vt:lpstr>
      <vt:lpstr>adagrad_ann!lastconst</vt:lpstr>
      <vt:lpstr>adam!lastconst</vt:lpstr>
      <vt:lpstr>adam_ann!lastconst</vt:lpstr>
      <vt:lpstr>'basic SGD'!lastconst</vt:lpstr>
      <vt:lpstr>'basic SGD 2 neuron collapse'!lastconst</vt:lpstr>
      <vt:lpstr>'basic SGD 2 neuron ReLU'!lastconst</vt:lpstr>
      <vt:lpstr>'basic SGD est'!lastconst</vt:lpstr>
      <vt:lpstr>eve!lastconst</vt:lpstr>
      <vt:lpstr>momentum!lastconst</vt:lpstr>
      <vt:lpstr>'momentum ReLU 2 neuron'!lastconst</vt:lpstr>
      <vt:lpstr>rmsprop!lastconst</vt:lpstr>
      <vt:lpstr>'basic SGD 2 neuron ReLU'!lastconst2</vt:lpstr>
      <vt:lpstr>'momentum ReLU 2 neuron'!lastconst2</vt:lpstr>
      <vt:lpstr>lastconst2</vt:lpstr>
      <vt:lpstr>adagrad!lastslope</vt:lpstr>
      <vt:lpstr>adagrad_ann!lastslope</vt:lpstr>
      <vt:lpstr>adam!lastslope</vt:lpstr>
      <vt:lpstr>adam_ann!lastslope</vt:lpstr>
      <vt:lpstr>'basic SGD'!lastslope</vt:lpstr>
      <vt:lpstr>'basic SGD 2 neuron collapse'!lastslope</vt:lpstr>
      <vt:lpstr>'basic SGD 2 neuron ReLU'!lastslope</vt:lpstr>
      <vt:lpstr>'basic SGD est'!lastslope</vt:lpstr>
      <vt:lpstr>eve!lastslope</vt:lpstr>
      <vt:lpstr>momentum!lastslope</vt:lpstr>
      <vt:lpstr>'momentum ReLU 2 neuron'!lastslope</vt:lpstr>
      <vt:lpstr>rmsprop!lastslope</vt:lpstr>
      <vt:lpstr>'basic SGD 2 neuron ReLU'!lastslope2</vt:lpstr>
      <vt:lpstr>'momentum ReLU 2 neuron'!lastslope2</vt:lpstr>
      <vt:lpstr>lastslope2</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momlast</vt:lpstr>
      <vt:lpstr>adam!momtarget</vt:lpstr>
      <vt:lpstr>adam_ann!momtarget</vt:lpstr>
      <vt:lpstr>eve!momtarget</vt:lpstr>
      <vt:lpstr>momentum!momtarget</vt:lpstr>
      <vt:lpstr>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 2 neuron collapse'!rmse</vt:lpstr>
      <vt:lpstr>'basic SGD 2 neuron ReLU'!rmse</vt:lpstr>
      <vt:lpstr>'basic SGD est'!rmse</vt:lpstr>
      <vt:lpstr>'momentum ReLU 2 neuron'!rmse</vt:lpstr>
      <vt:lpstr>'basic SGD'!rmses</vt:lpstr>
      <vt:lpstr>'basic SGD 2 neuron collapse'!rmses</vt:lpstr>
      <vt:lpstr>'basic SGD 2 neuron ReLU'!rmses</vt:lpstr>
      <vt:lpstr>'basic SGD est'!rmses</vt:lpstr>
      <vt:lpstr>'momentum ReLU 2 neuron'!rmses</vt:lpstr>
      <vt:lpstr>'basic SGD'!rmsestart</vt:lpstr>
      <vt:lpstr>'basic SGD 2 neuron collapse'!rmsestart</vt:lpstr>
      <vt:lpstr>'basic SGD 2 neuron ReLU'!rmsestart</vt:lpstr>
      <vt:lpstr>'basic SGD est'!rmsestart</vt:lpstr>
      <vt:lpstr>'momentum ReLU 2 neuron'!rmsestart</vt:lpstr>
      <vt:lpstr>eve!rtee</vt:lpstr>
      <vt:lpstr>adagrad!slope</vt:lpstr>
      <vt:lpstr>adagrad_ann!slope</vt:lpstr>
      <vt:lpstr>adam!slope</vt:lpstr>
      <vt:lpstr>adam_ann!slope</vt:lpstr>
      <vt:lpstr>'basic SGD'!slope</vt:lpstr>
      <vt:lpstr>'basic SGD 2 neuron collapse'!slope</vt:lpstr>
      <vt:lpstr>'basic SGD 2 neuron ReLU'!slope</vt:lpstr>
      <vt:lpstr>'basic SGD est'!slope</vt:lpstr>
      <vt:lpstr>eve!slope</vt:lpstr>
      <vt:lpstr>momentum!slope</vt:lpstr>
      <vt:lpstr>'momentum ReLU 2 neuron'!slope</vt:lpstr>
      <vt:lpstr>rmsprop!slope</vt:lpstr>
      <vt:lpstr>'basic SGD 2 neuron ReLU'!slope2</vt:lpstr>
      <vt:lpstr>'momentum ReLU 2 neuron'!slope2</vt:lpstr>
      <vt:lpstr>slope2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Jeremy Howard</dc:creator>
  <cp:keywords/>
  <dc:description/>
  <cp:lastModifiedBy>LiaoCan</cp:lastModifiedBy>
  <dcterms:created xsi:type="dcterms:W3CDTF">2014-03-27T15:29:57Z</dcterms:created>
  <dcterms:modified xsi:type="dcterms:W3CDTF">2022-07-16T05:20:10Z</dcterms:modified>
  <cp:category/>
</cp:coreProperties>
</file>