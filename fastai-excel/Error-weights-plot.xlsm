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Natsume/Documents/explore-fastai/fastai-excel/"/>
    </mc:Choice>
  </mc:AlternateContent>
  <xr:revisionPtr revIDLastSave="0" documentId="8_{E21F8B14-3C7E-5747-8380-33C3277E1964}" xr6:coauthVersionLast="47" xr6:coauthVersionMax="47" xr10:uidLastSave="{00000000-0000-0000-0000-000000000000}"/>
  <bookViews>
    <workbookView xWindow="560" yWindow="1100" windowWidth="25040" windowHeight="14500" xr2:uid="{DFA7EB75-B9A4-1B40-8AAC-C9766F47E65F}"/>
  </bookViews>
  <sheets>
    <sheet name="basic SGD" sheetId="1" r:id="rId1"/>
    <sheet name="freeze-b-range-a" sheetId="2" r:id="rId2"/>
    <sheet name="basic SGD 2 neuron collapse" sheetId="3" r:id="rId3"/>
  </sheets>
  <externalReferences>
    <externalReference r:id="rId4"/>
  </externalReferences>
  <definedNames>
    <definedName name="const" localSheetId="0">'basic SGD'!$C$1</definedName>
    <definedName name="const" localSheetId="2">'basic SGD 2 neuron collapse'!$C$1</definedName>
    <definedName name="const" localSheetId="1">'freeze-b-range-a'!$C$1</definedName>
    <definedName name="const_2" localSheetId="2">#REF!</definedName>
    <definedName name="const_2">#REF!</definedName>
    <definedName name="const2">'[1]basic SGD 2 neuron collapse'!$D$1</definedName>
    <definedName name="gradtarget" localSheetId="0">'basic SGD'!$K$1:$L$1</definedName>
    <definedName name="gradtarget" localSheetId="2">'basic SGD 2 neuron collapse'!$X$1:$Y$1</definedName>
    <definedName name="gradtarget" localSheetId="1">'freeze-b-range-a'!#REF!</definedName>
    <definedName name="histgrad" localSheetId="0">'basic SGD'!$K$33:$L$33</definedName>
    <definedName name="histgrad" localSheetId="2">'basic SGD 2 neuron collapse'!$X$36:$Y$36</definedName>
    <definedName name="histgrad" localSheetId="1">'freeze-b-range-a'!#REF!</definedName>
    <definedName name="inter_b" localSheetId="2">#REF!</definedName>
    <definedName name="inter_b">#REF!</definedName>
    <definedName name="intercept_b" localSheetId="2">#REF!</definedName>
    <definedName name="intercept_b">#REF!</definedName>
    <definedName name="intercept_d" localSheetId="2">#REF!</definedName>
    <definedName name="intercept_d">#REF!</definedName>
    <definedName name="lastconst" localSheetId="0">'basic SGD'!$C$32</definedName>
    <definedName name="lastconst" localSheetId="2">'basic SGD 2 neuron collapse'!$C$35</definedName>
    <definedName name="lastconst" localSheetId="1">'freeze-b-range-a'!$C$32</definedName>
    <definedName name="lastconst2">'basic SGD 2 neuron collapse'!$E$35</definedName>
    <definedName name="lastslope" localSheetId="0">'basic SGD'!$D$32</definedName>
    <definedName name="lastslope" localSheetId="2">'basic SGD 2 neuron collapse'!$D$35</definedName>
    <definedName name="lastslope" localSheetId="1">'freeze-b-range-a'!$D$32</definedName>
    <definedName name="lastslope2">'basic SGD 2 neuron collapse'!$F$35</definedName>
    <definedName name="rmse" localSheetId="0">'basic SGD'!$F$33</definedName>
    <definedName name="rmse" localSheetId="2">'basic SGD 2 neuron collapse'!$H$36</definedName>
    <definedName name="rmse" localSheetId="1">'freeze-b-range-a'!$F$33</definedName>
    <definedName name="rmses" localSheetId="0">'basic SGD'!$C$38:$C$106</definedName>
    <definedName name="rmses" localSheetId="2">'basic SGD 2 neuron collapse'!$C$41:$C$109</definedName>
    <definedName name="rmses" localSheetId="1">'freeze-b-range-a'!$C$38:$C$106</definedName>
    <definedName name="rmsestart" localSheetId="0">'basic SGD'!$C$36</definedName>
    <definedName name="rmsestart" localSheetId="2">'basic SGD 2 neuron collapse'!$C$39</definedName>
    <definedName name="rmsestart" localSheetId="1">'freeze-b-range-a'!$C$36</definedName>
    <definedName name="slope" localSheetId="0">'basic SGD'!$C$2</definedName>
    <definedName name="slope" localSheetId="2">'basic SGD 2 neuron collapse'!$C$2</definedName>
    <definedName name="slope" localSheetId="1">'freeze-b-range-a'!$C$2</definedName>
    <definedName name="slope_c" localSheetId="2">#REF!</definedName>
    <definedName name="slope_c">#REF!</definedName>
    <definedName name="slope2">'[1]basic SGD 2 neuron collapse'!$D$2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M7" i="3" l="1"/>
  <c r="F7" i="3"/>
  <c r="E7" i="3"/>
  <c r="D7" i="3"/>
  <c r="O7" i="3" s="1"/>
  <c r="C7" i="3"/>
  <c r="Q4" i="2"/>
  <c r="R4" i="2" l="1"/>
  <c r="S4" i="2" s="1"/>
  <c r="T4" i="2"/>
  <c r="U4" i="2" s="1"/>
  <c r="V4" i="2" s="1"/>
  <c r="Q5" i="2" s="1"/>
  <c r="I7" i="3"/>
  <c r="G7" i="3"/>
  <c r="K7" i="3"/>
  <c r="T5" i="2" l="1"/>
  <c r="R5" i="2"/>
  <c r="S5" i="2" s="1"/>
  <c r="H7" i="3"/>
  <c r="L7" i="3" s="1"/>
  <c r="Q7" i="3" s="1"/>
  <c r="X7" i="3"/>
  <c r="D8" i="3" l="1"/>
  <c r="Y7" i="3"/>
  <c r="P7" i="3"/>
  <c r="S7" i="3" s="1"/>
  <c r="N7" i="3"/>
  <c r="T7" i="3" s="1"/>
  <c r="E8" i="3" s="1"/>
  <c r="J7" i="3"/>
  <c r="R7" i="3" s="1"/>
  <c r="C8" i="3" s="1"/>
  <c r="F8" i="3" l="1"/>
  <c r="V7" i="3"/>
  <c r="U7" i="3"/>
  <c r="M8" i="3"/>
  <c r="I8" i="3"/>
  <c r="O8" i="3"/>
  <c r="K8" i="3"/>
  <c r="G8" i="3"/>
  <c r="H8" i="3" l="1"/>
  <c r="N8" i="3" s="1"/>
  <c r="T8" i="3" s="1"/>
  <c r="E9" i="3" s="1"/>
  <c r="X8" i="3"/>
  <c r="J8" i="3"/>
  <c r="R8" i="3" s="1"/>
  <c r="C9" i="3" s="1"/>
  <c r="Y8" i="3" l="1"/>
  <c r="P8" i="3"/>
  <c r="S8" i="3" s="1"/>
  <c r="L8" i="3"/>
  <c r="Q8" i="3" s="1"/>
  <c r="V8" i="3" l="1"/>
  <c r="F9" i="3"/>
  <c r="D9" i="3"/>
  <c r="U8" i="3"/>
  <c r="O9" i="3" l="1"/>
  <c r="K9" i="3"/>
  <c r="G9" i="3"/>
  <c r="M9" i="3"/>
  <c r="I9" i="3"/>
  <c r="H9" i="3" l="1"/>
  <c r="L9" i="3" s="1"/>
  <c r="Q9" i="3" s="1"/>
  <c r="X9" i="3"/>
  <c r="N9" i="3"/>
  <c r="T9" i="3" s="1"/>
  <c r="E10" i="3" s="1"/>
  <c r="D10" i="3" l="1"/>
  <c r="Y9" i="3"/>
  <c r="P9" i="3"/>
  <c r="S9" i="3" s="1"/>
  <c r="U9" i="3" s="1"/>
  <c r="J9" i="3"/>
  <c r="R9" i="3" s="1"/>
  <c r="C10" i="3" s="1"/>
  <c r="F10" i="3" l="1"/>
  <c r="V9" i="3"/>
  <c r="I10" i="3"/>
  <c r="G10" i="3"/>
  <c r="H10" i="3" l="1"/>
  <c r="X10" i="3"/>
  <c r="J10" i="3"/>
  <c r="R10" i="3" s="1"/>
  <c r="C11" i="3" s="1"/>
  <c r="S10" i="3"/>
  <c r="K10" i="3"/>
  <c r="L10" i="3" s="1"/>
  <c r="Q10" i="3" s="1"/>
  <c r="M10" i="3"/>
  <c r="O10" i="3"/>
  <c r="P10" i="3" s="1"/>
  <c r="N10" i="3" l="1"/>
  <c r="T10" i="3" s="1"/>
  <c r="E11" i="3" s="1"/>
  <c r="Y10" i="3"/>
  <c r="F11" i="3"/>
  <c r="D11" i="3"/>
  <c r="U10" i="3"/>
  <c r="O11" i="3" l="1"/>
  <c r="K11" i="3"/>
  <c r="G11" i="3"/>
  <c r="M11" i="3"/>
  <c r="I11" i="3"/>
  <c r="V10" i="3"/>
  <c r="H11" i="3" l="1"/>
  <c r="X11" i="3"/>
  <c r="L11" i="3"/>
  <c r="Q11" i="3" s="1"/>
  <c r="P11" i="3"/>
  <c r="S11" i="3" s="1"/>
  <c r="J11" i="3"/>
  <c r="R11" i="3" s="1"/>
  <c r="C12" i="3" s="1"/>
  <c r="N11" i="3"/>
  <c r="T11" i="3" s="1"/>
  <c r="E12" i="3" s="1"/>
  <c r="D12" i="3" l="1"/>
  <c r="U11" i="3"/>
  <c r="Y11" i="3"/>
  <c r="F12" i="3"/>
  <c r="V11" i="3"/>
  <c r="M12" i="3" l="1"/>
  <c r="I12" i="3"/>
  <c r="K12" i="3"/>
  <c r="G12" i="3"/>
  <c r="O12" i="3"/>
  <c r="N12" i="3" l="1"/>
  <c r="T12" i="3" s="1"/>
  <c r="E13" i="3" s="1"/>
  <c r="H12" i="3"/>
  <c r="P12" i="3" s="1"/>
  <c r="S12" i="3" s="1"/>
  <c r="X12" i="3"/>
  <c r="Y12" i="3" s="1"/>
  <c r="L12" i="3"/>
  <c r="Q12" i="3" s="1"/>
  <c r="F13" i="3" l="1"/>
  <c r="D13" i="3"/>
  <c r="U12" i="3"/>
  <c r="J12" i="3"/>
  <c r="R12" i="3" s="1"/>
  <c r="C13" i="3" s="1"/>
  <c r="O13" i="3" l="1"/>
  <c r="K13" i="3"/>
  <c r="G13" i="3"/>
  <c r="M13" i="3"/>
  <c r="I13" i="3"/>
  <c r="V12" i="3"/>
  <c r="P13" i="3" l="1"/>
  <c r="S13" i="3" s="1"/>
  <c r="N13" i="3"/>
  <c r="T13" i="3" s="1"/>
  <c r="E14" i="3" s="1"/>
  <c r="H13" i="3"/>
  <c r="L13" i="3" s="1"/>
  <c r="Q13" i="3" s="1"/>
  <c r="X13" i="3"/>
  <c r="Y13" i="3" s="1"/>
  <c r="D14" i="3" l="1"/>
  <c r="U13" i="3"/>
  <c r="J13" i="3"/>
  <c r="R13" i="3" s="1"/>
  <c r="C14" i="3" s="1"/>
  <c r="F14" i="3"/>
  <c r="V13" i="3"/>
  <c r="M14" i="3" l="1"/>
  <c r="I14" i="3"/>
  <c r="O14" i="3"/>
  <c r="K14" i="3"/>
  <c r="G14" i="3"/>
  <c r="P14" i="3" l="1"/>
  <c r="S14" i="3" s="1"/>
  <c r="X14" i="3"/>
  <c r="Y14" i="3" s="1"/>
  <c r="H14" i="3"/>
  <c r="N14" i="3" s="1"/>
  <c r="T14" i="3" s="1"/>
  <c r="E15" i="3" s="1"/>
  <c r="J14" i="3"/>
  <c r="R14" i="3" s="1"/>
  <c r="C15" i="3" s="1"/>
  <c r="L14" i="3" l="1"/>
  <c r="Q14" i="3" s="1"/>
  <c r="V14" i="3"/>
  <c r="F15" i="3"/>
  <c r="D15" i="3" l="1"/>
  <c r="U14" i="3"/>
  <c r="K15" i="3" l="1"/>
  <c r="O15" i="3"/>
  <c r="I15" i="3"/>
  <c r="M15" i="3"/>
  <c r="G15" i="3"/>
  <c r="H15" i="3" l="1"/>
  <c r="J15" i="3" s="1"/>
  <c r="R15" i="3" s="1"/>
  <c r="C16" i="3" s="1"/>
  <c r="X15" i="3"/>
  <c r="Y15" i="3" s="1"/>
  <c r="N15" i="3" l="1"/>
  <c r="T15" i="3" s="1"/>
  <c r="E16" i="3" s="1"/>
  <c r="P15" i="3"/>
  <c r="S15" i="3" s="1"/>
  <c r="L15" i="3"/>
  <c r="Q15" i="3" s="1"/>
  <c r="D16" i="3" l="1"/>
  <c r="U15" i="3"/>
  <c r="F16" i="3"/>
  <c r="V15" i="3"/>
  <c r="K16" i="3" l="1"/>
  <c r="M16" i="3"/>
  <c r="O16" i="3"/>
  <c r="I16" i="3"/>
  <c r="G16" i="3"/>
  <c r="H16" i="3" l="1"/>
  <c r="P16" i="3" s="1"/>
  <c r="S16" i="3" s="1"/>
  <c r="X16" i="3"/>
  <c r="Y16" i="3" s="1"/>
  <c r="F17" i="3" l="1"/>
  <c r="N16" i="3"/>
  <c r="T16" i="3" s="1"/>
  <c r="E17" i="3" s="1"/>
  <c r="J16" i="3"/>
  <c r="R16" i="3" s="1"/>
  <c r="C17" i="3" s="1"/>
  <c r="L16" i="3"/>
  <c r="Q16" i="3" s="1"/>
  <c r="D17" i="3" l="1"/>
  <c r="U16" i="3"/>
  <c r="V16" i="3"/>
  <c r="O17" i="3" l="1"/>
  <c r="M17" i="3"/>
  <c r="I17" i="3"/>
  <c r="G17" i="3"/>
  <c r="K17" i="3"/>
  <c r="H17" i="3" l="1"/>
  <c r="J17" i="3" s="1"/>
  <c r="R17" i="3" s="1"/>
  <c r="C18" i="3" s="1"/>
  <c r="X17" i="3"/>
  <c r="Y17" i="3" s="1"/>
  <c r="N17" i="3" l="1"/>
  <c r="T17" i="3" s="1"/>
  <c r="E18" i="3" s="1"/>
  <c r="P17" i="3"/>
  <c r="S17" i="3" s="1"/>
  <c r="L17" i="3"/>
  <c r="Q17" i="3" s="1"/>
  <c r="D18" i="3" l="1"/>
  <c r="U17" i="3"/>
  <c r="F18" i="3"/>
  <c r="V17" i="3"/>
  <c r="O18" i="3" l="1"/>
  <c r="I18" i="3"/>
  <c r="G18" i="3"/>
  <c r="M18" i="3"/>
  <c r="K18" i="3"/>
  <c r="X18" i="3" l="1"/>
  <c r="Y18" i="3" s="1"/>
  <c r="H18" i="3"/>
  <c r="N18" i="3" s="1"/>
  <c r="T18" i="3" s="1"/>
  <c r="E19" i="3" s="1"/>
  <c r="J18" i="3"/>
  <c r="R18" i="3" s="1"/>
  <c r="C19" i="3" s="1"/>
  <c r="P18" i="3" l="1"/>
  <c r="S18" i="3" s="1"/>
  <c r="L18" i="3"/>
  <c r="Q18" i="3" s="1"/>
  <c r="V18" i="3" l="1"/>
  <c r="F19" i="3"/>
  <c r="D19" i="3"/>
  <c r="U18" i="3"/>
  <c r="I19" i="3" l="1"/>
  <c r="K19" i="3"/>
  <c r="M19" i="3"/>
  <c r="G19" i="3"/>
  <c r="O19" i="3"/>
  <c r="H19" i="3" l="1"/>
  <c r="L19" i="3" s="1"/>
  <c r="Q19" i="3" s="1"/>
  <c r="X19" i="3"/>
  <c r="Y19" i="3" s="1"/>
  <c r="D20" i="3" l="1"/>
  <c r="N19" i="3"/>
  <c r="T19" i="3" s="1"/>
  <c r="E20" i="3" s="1"/>
  <c r="J19" i="3"/>
  <c r="R19" i="3" s="1"/>
  <c r="C20" i="3" s="1"/>
  <c r="P19" i="3"/>
  <c r="S19" i="3" s="1"/>
  <c r="U19" i="3" s="1"/>
  <c r="F20" i="3" l="1"/>
  <c r="K20" i="3" s="1"/>
  <c r="V19" i="3"/>
  <c r="G20" i="3"/>
  <c r="X20" i="3" l="1"/>
  <c r="Y20" i="3" s="1"/>
  <c r="H20" i="3"/>
  <c r="L20" i="3" s="1"/>
  <c r="Q20" i="3" s="1"/>
  <c r="O20" i="3"/>
  <c r="I20" i="3"/>
  <c r="M20" i="3"/>
  <c r="N20" i="3" s="1"/>
  <c r="T20" i="3" s="1"/>
  <c r="E21" i="3" s="1"/>
  <c r="D21" i="3" l="1"/>
  <c r="U20" i="3"/>
  <c r="J20" i="3"/>
  <c r="R20" i="3" s="1"/>
  <c r="C21" i="3" s="1"/>
  <c r="P20" i="3"/>
  <c r="S20" i="3" s="1"/>
  <c r="F21" i="3" l="1"/>
  <c r="O21" i="3" s="1"/>
  <c r="V20" i="3"/>
  <c r="K21" i="3"/>
  <c r="I21" i="3"/>
  <c r="M21" i="3" l="1"/>
  <c r="G21" i="3"/>
  <c r="X21" i="3" l="1"/>
  <c r="Y21" i="3" s="1"/>
  <c r="H21" i="3"/>
  <c r="N21" i="3"/>
  <c r="T21" i="3" s="1"/>
  <c r="E22" i="3" s="1"/>
  <c r="P21" i="3" l="1"/>
  <c r="S21" i="3" s="1"/>
  <c r="L21" i="3"/>
  <c r="Q21" i="3" s="1"/>
  <c r="J21" i="3"/>
  <c r="R21" i="3" s="1"/>
  <c r="C22" i="3" s="1"/>
  <c r="V21" i="3" l="1"/>
  <c r="F22" i="3"/>
  <c r="D22" i="3"/>
  <c r="U21" i="3"/>
  <c r="K22" i="3" l="1"/>
  <c r="G22" i="3"/>
  <c r="O22" i="3"/>
  <c r="I22" i="3"/>
  <c r="M22" i="3"/>
  <c r="H22" i="3" l="1"/>
  <c r="L22" i="3" s="1"/>
  <c r="Q22" i="3" s="1"/>
  <c r="X22" i="3"/>
  <c r="Y22" i="3" s="1"/>
  <c r="D23" i="3" l="1"/>
  <c r="P22" i="3"/>
  <c r="S22" i="3" s="1"/>
  <c r="J22" i="3"/>
  <c r="R22" i="3" s="1"/>
  <c r="C23" i="3" s="1"/>
  <c r="N22" i="3"/>
  <c r="T22" i="3" s="1"/>
  <c r="E23" i="3" s="1"/>
  <c r="F23" i="3" l="1"/>
  <c r="V22" i="3"/>
  <c r="U22" i="3"/>
  <c r="G23" i="3" l="1"/>
  <c r="I23" i="3"/>
  <c r="M23" i="3"/>
  <c r="O23" i="3"/>
  <c r="K23" i="3"/>
  <c r="J23" i="3" l="1"/>
  <c r="R23" i="3" s="1"/>
  <c r="C24" i="3" s="1"/>
  <c r="L23" i="3"/>
  <c r="Q23" i="3" s="1"/>
  <c r="X23" i="3"/>
  <c r="Y23" i="3" s="1"/>
  <c r="H23" i="3"/>
  <c r="N23" i="3"/>
  <c r="T23" i="3" s="1"/>
  <c r="E24" i="3" s="1"/>
  <c r="P23" i="3"/>
  <c r="S23" i="3" s="1"/>
  <c r="D24" i="3" l="1"/>
  <c r="U23" i="3"/>
  <c r="V23" i="3"/>
  <c r="F24" i="3"/>
  <c r="O24" i="3" l="1"/>
  <c r="I24" i="3"/>
  <c r="M24" i="3"/>
  <c r="G24" i="3"/>
  <c r="K24" i="3"/>
  <c r="P24" i="3" l="1"/>
  <c r="S24" i="3" s="1"/>
  <c r="J24" i="3"/>
  <c r="R24" i="3" s="1"/>
  <c r="C25" i="3" s="1"/>
  <c r="H24" i="3"/>
  <c r="N24" i="3" s="1"/>
  <c r="T24" i="3" s="1"/>
  <c r="E25" i="3" s="1"/>
  <c r="X24" i="3"/>
  <c r="Y24" i="3" s="1"/>
  <c r="L24" i="3" l="1"/>
  <c r="Q24" i="3" s="1"/>
  <c r="F25" i="3"/>
  <c r="V24" i="3"/>
  <c r="D25" i="3" l="1"/>
  <c r="U24" i="3"/>
  <c r="O25" i="3" l="1"/>
  <c r="I25" i="3"/>
  <c r="M25" i="3"/>
  <c r="G25" i="3"/>
  <c r="K25" i="3"/>
  <c r="H25" i="3" l="1"/>
  <c r="N25" i="3" s="1"/>
  <c r="T25" i="3" s="1"/>
  <c r="E26" i="3" s="1"/>
  <c r="X25" i="3"/>
  <c r="Y25" i="3" s="1"/>
  <c r="J25" i="3"/>
  <c r="R25" i="3" s="1"/>
  <c r="C26" i="3" s="1"/>
  <c r="L25" i="3"/>
  <c r="Q25" i="3" s="1"/>
  <c r="P25" i="3"/>
  <c r="S25" i="3" s="1"/>
  <c r="V25" i="3" l="1"/>
  <c r="F26" i="3"/>
  <c r="D26" i="3"/>
  <c r="U25" i="3"/>
  <c r="I26" i="3" l="1"/>
  <c r="M26" i="3"/>
  <c r="G26" i="3"/>
  <c r="K26" i="3"/>
  <c r="O26" i="3"/>
  <c r="H26" i="3" l="1"/>
  <c r="L26" i="3" s="1"/>
  <c r="Q26" i="3" s="1"/>
  <c r="X26" i="3"/>
  <c r="Y26" i="3" s="1"/>
  <c r="N26" i="3"/>
  <c r="T26" i="3" s="1"/>
  <c r="E27" i="3" s="1"/>
  <c r="J26" i="3"/>
  <c r="R26" i="3" s="1"/>
  <c r="C27" i="3" s="1"/>
  <c r="P26" i="3"/>
  <c r="S26" i="3" s="1"/>
  <c r="U26" i="3" l="1"/>
  <c r="D27" i="3"/>
  <c r="F27" i="3"/>
  <c r="V26" i="3"/>
  <c r="M27" i="3" l="1"/>
  <c r="G27" i="3"/>
  <c r="K27" i="3"/>
  <c r="I27" i="3"/>
  <c r="O27" i="3"/>
  <c r="L27" i="3" l="1"/>
  <c r="Q27" i="3" s="1"/>
  <c r="H27" i="3"/>
  <c r="X27" i="3"/>
  <c r="Y27" i="3" s="1"/>
  <c r="P27" i="3"/>
  <c r="S27" i="3" s="1"/>
  <c r="J27" i="3"/>
  <c r="R27" i="3" s="1"/>
  <c r="C28" i="3" s="1"/>
  <c r="N27" i="3"/>
  <c r="T27" i="3" s="1"/>
  <c r="E28" i="3" s="1"/>
  <c r="V27" i="3" l="1"/>
  <c r="F28" i="3"/>
  <c r="D28" i="3"/>
  <c r="U27" i="3"/>
  <c r="M28" i="3" l="1"/>
  <c r="I28" i="3"/>
  <c r="O28" i="3"/>
  <c r="G28" i="3"/>
  <c r="K28" i="3"/>
  <c r="N28" i="3" l="1"/>
  <c r="T28" i="3" s="1"/>
  <c r="E29" i="3" s="1"/>
  <c r="H28" i="3"/>
  <c r="J28" i="3" s="1"/>
  <c r="R28" i="3" s="1"/>
  <c r="C29" i="3" s="1"/>
  <c r="X28" i="3"/>
  <c r="Y28" i="3" s="1"/>
  <c r="P28" i="3"/>
  <c r="S28" i="3" s="1"/>
  <c r="F29" i="3" l="1"/>
  <c r="V28" i="3"/>
  <c r="L28" i="3"/>
  <c r="Q28" i="3" s="1"/>
  <c r="U28" i="3" l="1"/>
  <c r="D29" i="3"/>
  <c r="O29" i="3" l="1"/>
  <c r="K29" i="3"/>
  <c r="G29" i="3"/>
  <c r="I29" i="3"/>
  <c r="M29" i="3"/>
  <c r="X29" i="3" l="1"/>
  <c r="Y29" i="3" s="1"/>
  <c r="H29" i="3"/>
  <c r="P29" i="3" s="1"/>
  <c r="S29" i="3" s="1"/>
  <c r="N29" i="3"/>
  <c r="T29" i="3" s="1"/>
  <c r="E30" i="3" s="1"/>
  <c r="F30" i="3" l="1"/>
  <c r="J29" i="3"/>
  <c r="R29" i="3" s="1"/>
  <c r="C30" i="3" s="1"/>
  <c r="L29" i="3"/>
  <c r="Q29" i="3" s="1"/>
  <c r="D30" i="3" l="1"/>
  <c r="U29" i="3"/>
  <c r="V29" i="3"/>
  <c r="M30" i="3" l="1"/>
  <c r="I30" i="3"/>
  <c r="K30" i="3"/>
  <c r="O30" i="3"/>
  <c r="G30" i="3"/>
  <c r="H30" i="3" l="1"/>
  <c r="L30" i="3" s="1"/>
  <c r="Q30" i="3" s="1"/>
  <c r="X30" i="3"/>
  <c r="Y30" i="3" s="1"/>
  <c r="N30" i="3"/>
  <c r="T30" i="3" s="1"/>
  <c r="E31" i="3" s="1"/>
  <c r="P30" i="3"/>
  <c r="S30" i="3" s="1"/>
  <c r="U30" i="3" l="1"/>
  <c r="D31" i="3"/>
  <c r="F31" i="3"/>
  <c r="J30" i="3"/>
  <c r="R30" i="3" s="1"/>
  <c r="C31" i="3" s="1"/>
  <c r="O31" i="3" l="1"/>
  <c r="K31" i="3"/>
  <c r="G31" i="3"/>
  <c r="M31" i="3"/>
  <c r="I31" i="3"/>
  <c r="V30" i="3"/>
  <c r="X31" i="3" l="1"/>
  <c r="Y31" i="3" s="1"/>
  <c r="H31" i="3"/>
  <c r="J31" i="3" s="1"/>
  <c r="R31" i="3" s="1"/>
  <c r="C32" i="3" s="1"/>
  <c r="L31" i="3"/>
  <c r="Q31" i="3" s="1"/>
  <c r="N31" i="3"/>
  <c r="T31" i="3" s="1"/>
  <c r="E32" i="3" s="1"/>
  <c r="P31" i="3"/>
  <c r="S31" i="3" s="1"/>
  <c r="V31" i="3" l="1"/>
  <c r="F32" i="3"/>
  <c r="D32" i="3"/>
  <c r="U31" i="3"/>
  <c r="M32" i="3" l="1"/>
  <c r="I32" i="3"/>
  <c r="O32" i="3"/>
  <c r="G32" i="3"/>
  <c r="K32" i="3"/>
  <c r="H32" i="3" l="1"/>
  <c r="J32" i="3" s="1"/>
  <c r="R32" i="3" s="1"/>
  <c r="C33" i="3" s="1"/>
  <c r="X32" i="3"/>
  <c r="Y32" i="3" s="1"/>
  <c r="N32" i="3" l="1"/>
  <c r="T32" i="3" s="1"/>
  <c r="E33" i="3" s="1"/>
  <c r="P32" i="3"/>
  <c r="S32" i="3" s="1"/>
  <c r="L32" i="3"/>
  <c r="Q32" i="3" s="1"/>
  <c r="U32" i="3" l="1"/>
  <c r="D33" i="3"/>
  <c r="F33" i="3"/>
  <c r="V32" i="3"/>
  <c r="O33" i="3" l="1"/>
  <c r="K33" i="3"/>
  <c r="G33" i="3"/>
  <c r="I33" i="3"/>
  <c r="M33" i="3"/>
  <c r="L33" i="3" l="1"/>
  <c r="Q33" i="3" s="1"/>
  <c r="P33" i="3"/>
  <c r="S33" i="3" s="1"/>
  <c r="X33" i="3"/>
  <c r="Y33" i="3" s="1"/>
  <c r="H33" i="3"/>
  <c r="N33" i="3"/>
  <c r="T33" i="3" s="1"/>
  <c r="E34" i="3" s="1"/>
  <c r="J33" i="3"/>
  <c r="R33" i="3" s="1"/>
  <c r="C34" i="3" s="1"/>
  <c r="V33" i="3" l="1"/>
  <c r="F34" i="3"/>
  <c r="D34" i="3"/>
  <c r="U33" i="3"/>
  <c r="M34" i="3" l="1"/>
  <c r="I34" i="3"/>
  <c r="K34" i="3"/>
  <c r="G34" i="3"/>
  <c r="O34" i="3"/>
  <c r="P34" i="3" l="1"/>
  <c r="S34" i="3" s="1"/>
  <c r="N34" i="3"/>
  <c r="T34" i="3" s="1"/>
  <c r="E35" i="3" s="1"/>
  <c r="H34" i="3"/>
  <c r="J34" i="3" s="1"/>
  <c r="R34" i="3" s="1"/>
  <c r="C35" i="3" s="1"/>
  <c r="X34" i="3"/>
  <c r="Y34" i="3" s="1"/>
  <c r="L34" i="3"/>
  <c r="Q34" i="3" s="1"/>
  <c r="F35" i="3" l="1"/>
  <c r="V34" i="3"/>
  <c r="U34" i="3"/>
  <c r="D35" i="3"/>
  <c r="O35" i="3" l="1"/>
  <c r="K35" i="3"/>
  <c r="G35" i="3"/>
  <c r="M35" i="3"/>
  <c r="I35" i="3"/>
  <c r="X35" i="3" l="1"/>
  <c r="H35" i="3"/>
  <c r="H36" i="3" s="1"/>
  <c r="J35" i="3"/>
  <c r="R35" i="3" s="1"/>
  <c r="P35" i="3" l="1"/>
  <c r="S35" i="3" s="1"/>
  <c r="Y35" i="3"/>
  <c r="Y36" i="3" s="1"/>
  <c r="X36" i="3"/>
  <c r="L35" i="3"/>
  <c r="Q35" i="3" s="1"/>
  <c r="U35" i="3" s="1"/>
  <c r="N35" i="3"/>
  <c r="T35" i="3" s="1"/>
  <c r="V35" i="3" l="1"/>
  <c r="O5" i="2" l="1"/>
  <c r="P5" i="2" s="1"/>
  <c r="O6" i="2"/>
  <c r="P6" i="2" s="1"/>
  <c r="O7" i="2"/>
  <c r="P7" i="2" s="1"/>
  <c r="O8" i="2"/>
  <c r="P8" i="2" s="1"/>
  <c r="O9" i="2"/>
  <c r="P9" i="2" s="1"/>
  <c r="O10" i="2"/>
  <c r="P10" i="2" s="1"/>
  <c r="O11" i="2"/>
  <c r="P11" i="2" s="1"/>
  <c r="O12" i="2"/>
  <c r="P12" i="2" s="1"/>
  <c r="O13" i="2"/>
  <c r="P13" i="2" s="1"/>
  <c r="O14" i="2"/>
  <c r="P14" i="2" s="1"/>
  <c r="O15" i="2"/>
  <c r="P15" i="2" s="1"/>
  <c r="O16" i="2"/>
  <c r="P16" i="2" s="1"/>
  <c r="O17" i="2"/>
  <c r="P17" i="2" s="1"/>
  <c r="O18" i="2"/>
  <c r="P18" i="2" s="1"/>
  <c r="O19" i="2"/>
  <c r="P19" i="2" s="1"/>
  <c r="O20" i="2"/>
  <c r="P20" i="2" s="1"/>
  <c r="O21" i="2"/>
  <c r="P21" i="2" s="1"/>
  <c r="O22" i="2"/>
  <c r="P22" i="2" s="1"/>
  <c r="O23" i="2"/>
  <c r="P23" i="2" s="1"/>
  <c r="O24" i="2"/>
  <c r="P24" i="2" s="1"/>
  <c r="O25" i="2"/>
  <c r="P25" i="2" s="1"/>
  <c r="O26" i="2"/>
  <c r="P26" i="2" s="1"/>
  <c r="O27" i="2"/>
  <c r="P27" i="2" s="1"/>
  <c r="O28" i="2"/>
  <c r="P28" i="2" s="1"/>
  <c r="O29" i="2"/>
  <c r="P29" i="2" s="1"/>
  <c r="O30" i="2"/>
  <c r="P30" i="2" s="1"/>
  <c r="O31" i="2"/>
  <c r="P31" i="2" s="1"/>
  <c r="O32" i="2"/>
  <c r="P32" i="2" s="1"/>
  <c r="O4" i="2"/>
  <c r="P4" i="2" s="1"/>
  <c r="D4" i="2"/>
  <c r="C4" i="2"/>
  <c r="D4" i="1"/>
  <c r="C4" i="1"/>
  <c r="U5" i="2" l="1"/>
  <c r="V5" i="2" s="1"/>
  <c r="Q6" i="2" s="1"/>
  <c r="I4" i="2"/>
  <c r="G4" i="2"/>
  <c r="E4" i="2"/>
  <c r="E4" i="1"/>
  <c r="I4" i="1"/>
  <c r="G4" i="1"/>
  <c r="R6" i="2" l="1"/>
  <c r="S6" i="2" s="1"/>
  <c r="T6" i="2"/>
  <c r="F4" i="2"/>
  <c r="H4" i="2" s="1"/>
  <c r="L4" i="2" s="1"/>
  <c r="K4" i="1"/>
  <c r="F4" i="1"/>
  <c r="H4" i="1" s="1"/>
  <c r="U6" i="2" l="1"/>
  <c r="V6" i="2" s="1"/>
  <c r="Q7" i="2" s="1"/>
  <c r="R7" i="2" s="1"/>
  <c r="S7" i="2" s="1"/>
  <c r="J4" i="1"/>
  <c r="J4" i="2"/>
  <c r="K4" i="2" s="1"/>
  <c r="C5" i="2"/>
  <c r="L4" i="1"/>
  <c r="N4" i="1"/>
  <c r="C5" i="1" s="1"/>
  <c r="T7" i="2" l="1"/>
  <c r="U7" i="2"/>
  <c r="V7" i="2" s="1"/>
  <c r="Q8" i="2" s="1"/>
  <c r="R8" i="2" s="1"/>
  <c r="S8" i="2" s="1"/>
  <c r="D5" i="2"/>
  <c r="E5" i="2" s="1"/>
  <c r="M4" i="1"/>
  <c r="D5" i="1" s="1"/>
  <c r="G5" i="1" s="1"/>
  <c r="T8" i="2" l="1"/>
  <c r="U8" i="2" s="1"/>
  <c r="V8" i="2" s="1"/>
  <c r="Q9" i="2" s="1"/>
  <c r="R9" i="2" s="1"/>
  <c r="S9" i="2" s="1"/>
  <c r="E5" i="1"/>
  <c r="K5" i="1" s="1"/>
  <c r="F5" i="2"/>
  <c r="G5" i="2"/>
  <c r="I5" i="2"/>
  <c r="I5" i="1"/>
  <c r="T9" i="2" l="1"/>
  <c r="U9" i="2" s="1"/>
  <c r="V9" i="2" s="1"/>
  <c r="Q10" i="2" s="1"/>
  <c r="F5" i="1"/>
  <c r="H5" i="1" s="1"/>
  <c r="J5" i="2"/>
  <c r="K5" i="2" s="1"/>
  <c r="H5" i="2"/>
  <c r="L5" i="2" s="1"/>
  <c r="C6" i="2" s="1"/>
  <c r="L5" i="1"/>
  <c r="N5" i="1"/>
  <c r="C6" i="1" s="1"/>
  <c r="T10" i="2" l="1"/>
  <c r="R10" i="2"/>
  <c r="S10" i="2" s="1"/>
  <c r="J5" i="1"/>
  <c r="D6" i="2"/>
  <c r="G6" i="2" s="1"/>
  <c r="M5" i="1"/>
  <c r="D6" i="1" s="1"/>
  <c r="E6" i="1" s="1"/>
  <c r="U10" i="2" l="1"/>
  <c r="V10" i="2" s="1"/>
  <c r="Q11" i="2" s="1"/>
  <c r="G6" i="1"/>
  <c r="E6" i="2"/>
  <c r="F6" i="2" s="1"/>
  <c r="H6" i="2" s="1"/>
  <c r="L6" i="2" s="1"/>
  <c r="I6" i="2"/>
  <c r="F6" i="1"/>
  <c r="K6" i="1"/>
  <c r="I6" i="1"/>
  <c r="R11" i="2" l="1"/>
  <c r="S11" i="2" s="1"/>
  <c r="T11" i="2"/>
  <c r="U11" i="2" s="1"/>
  <c r="V11" i="2" s="1"/>
  <c r="Q12" i="2" s="1"/>
  <c r="H6" i="1"/>
  <c r="J6" i="1"/>
  <c r="J6" i="2"/>
  <c r="K6" i="2" s="1"/>
  <c r="C7" i="2"/>
  <c r="L6" i="1"/>
  <c r="N6" i="1"/>
  <c r="C7" i="1" s="1"/>
  <c r="R12" i="2" l="1"/>
  <c r="S12" i="2" s="1"/>
  <c r="T12" i="2"/>
  <c r="D7" i="2"/>
  <c r="M6" i="1"/>
  <c r="D7" i="1" s="1"/>
  <c r="E7" i="1" s="1"/>
  <c r="U12" i="2" l="1"/>
  <c r="V12" i="2" s="1"/>
  <c r="Q13" i="2" s="1"/>
  <c r="R13" i="2" s="1"/>
  <c r="S13" i="2" s="1"/>
  <c r="G7" i="1"/>
  <c r="E7" i="2"/>
  <c r="F7" i="2" s="1"/>
  <c r="G7" i="2"/>
  <c r="I7" i="2"/>
  <c r="F7" i="1"/>
  <c r="K7" i="1"/>
  <c r="I7" i="1"/>
  <c r="T13" i="2" l="1"/>
  <c r="U13" i="2" s="1"/>
  <c r="V13" i="2" s="1"/>
  <c r="Q14" i="2" s="1"/>
  <c r="T14" i="2" s="1"/>
  <c r="H7" i="1"/>
  <c r="J7" i="1"/>
  <c r="H7" i="2"/>
  <c r="L7" i="2" s="1"/>
  <c r="C8" i="2" s="1"/>
  <c r="J7" i="2"/>
  <c r="K7" i="2" s="1"/>
  <c r="L7" i="1"/>
  <c r="N7" i="1"/>
  <c r="C8" i="1" s="1"/>
  <c r="R14" i="2" l="1"/>
  <c r="S14" i="2" s="1"/>
  <c r="U14" i="2" s="1"/>
  <c r="V14" i="2" s="1"/>
  <c r="Q15" i="2" s="1"/>
  <c r="D8" i="2"/>
  <c r="M7" i="1"/>
  <c r="D8" i="1" s="1"/>
  <c r="E8" i="1" s="1"/>
  <c r="R15" i="2" l="1"/>
  <c r="S15" i="2" s="1"/>
  <c r="T15" i="2"/>
  <c r="U15" i="2" s="1"/>
  <c r="V15" i="2" s="1"/>
  <c r="Q16" i="2" s="1"/>
  <c r="R16" i="2" s="1"/>
  <c r="S16" i="2" s="1"/>
  <c r="G8" i="1"/>
  <c r="I8" i="2"/>
  <c r="G8" i="2"/>
  <c r="E8" i="2"/>
  <c r="F8" i="1"/>
  <c r="K8" i="1"/>
  <c r="I8" i="1"/>
  <c r="T16" i="2" l="1"/>
  <c r="U16" i="2" s="1"/>
  <c r="V16" i="2" s="1"/>
  <c r="Q17" i="2" s="1"/>
  <c r="T17" i="2" s="1"/>
  <c r="H8" i="1"/>
  <c r="F8" i="2"/>
  <c r="J8" i="2" s="1"/>
  <c r="K8" i="2" s="1"/>
  <c r="J8" i="1"/>
  <c r="L8" i="1"/>
  <c r="N8" i="1"/>
  <c r="C9" i="1" s="1"/>
  <c r="R17" i="2" l="1"/>
  <c r="S17" i="2" s="1"/>
  <c r="U17" i="2" s="1"/>
  <c r="V17" i="2" s="1"/>
  <c r="Q18" i="2" s="1"/>
  <c r="H8" i="2"/>
  <c r="L8" i="2" s="1"/>
  <c r="C9" i="2" s="1"/>
  <c r="M8" i="1"/>
  <c r="D9" i="1" s="1"/>
  <c r="R18" i="2" l="1"/>
  <c r="S18" i="2" s="1"/>
  <c r="T18" i="2"/>
  <c r="D9" i="2"/>
  <c r="I9" i="1"/>
  <c r="E9" i="1"/>
  <c r="G9" i="1"/>
  <c r="U18" i="2" l="1"/>
  <c r="V18" i="2" s="1"/>
  <c r="Q19" i="2" s="1"/>
  <c r="R19" i="2" s="1"/>
  <c r="S19" i="2" s="1"/>
  <c r="G9" i="2"/>
  <c r="I9" i="2"/>
  <c r="E9" i="2"/>
  <c r="F9" i="1"/>
  <c r="H9" i="1" s="1"/>
  <c r="K9" i="1"/>
  <c r="T19" i="2" l="1"/>
  <c r="U19" i="2" s="1"/>
  <c r="V19" i="2" s="1"/>
  <c r="Q20" i="2" s="1"/>
  <c r="J9" i="1"/>
  <c r="F9" i="2"/>
  <c r="H9" i="2" s="1"/>
  <c r="L9" i="2" s="1"/>
  <c r="L9" i="1"/>
  <c r="M9" i="1" s="1"/>
  <c r="D10" i="1" s="1"/>
  <c r="N9" i="1"/>
  <c r="C10" i="1" s="1"/>
  <c r="T20" i="2" l="1"/>
  <c r="R20" i="2"/>
  <c r="S20" i="2" s="1"/>
  <c r="J9" i="2"/>
  <c r="K9" i="2" s="1"/>
  <c r="C10" i="2"/>
  <c r="E10" i="1"/>
  <c r="G10" i="1"/>
  <c r="I10" i="1"/>
  <c r="U20" i="2" l="1"/>
  <c r="V20" i="2" s="1"/>
  <c r="Q21" i="2" s="1"/>
  <c r="T21" i="2" s="1"/>
  <c r="D10" i="2"/>
  <c r="E10" i="2" s="1"/>
  <c r="F10" i="1"/>
  <c r="H10" i="1" s="1"/>
  <c r="K10" i="1"/>
  <c r="R21" i="2" l="1"/>
  <c r="S21" i="2" s="1"/>
  <c r="U21" i="2" s="1"/>
  <c r="V21" i="2" s="1"/>
  <c r="Q22" i="2" s="1"/>
  <c r="T22" i="2" s="1"/>
  <c r="I10" i="2"/>
  <c r="G10" i="2"/>
  <c r="J10" i="1"/>
  <c r="F10" i="2"/>
  <c r="L10" i="1"/>
  <c r="M10" i="1" s="1"/>
  <c r="D11" i="1" s="1"/>
  <c r="N10" i="1"/>
  <c r="C11" i="1" s="1"/>
  <c r="R22" i="2" l="1"/>
  <c r="S22" i="2" s="1"/>
  <c r="U22" i="2" s="1"/>
  <c r="V22" i="2" s="1"/>
  <c r="Q23" i="2" s="1"/>
  <c r="T23" i="2" s="1"/>
  <c r="H10" i="2"/>
  <c r="L10" i="2" s="1"/>
  <c r="C11" i="2" s="1"/>
  <c r="J10" i="2"/>
  <c r="K10" i="2" s="1"/>
  <c r="G11" i="1"/>
  <c r="E11" i="1"/>
  <c r="I11" i="1"/>
  <c r="R23" i="2" l="1"/>
  <c r="S23" i="2" s="1"/>
  <c r="U23" i="2"/>
  <c r="V23" i="2" s="1"/>
  <c r="Q24" i="2" s="1"/>
  <c r="D11" i="2"/>
  <c r="G11" i="2" s="1"/>
  <c r="F11" i="1"/>
  <c r="J11" i="1" s="1"/>
  <c r="K11" i="1"/>
  <c r="T24" i="2" l="1"/>
  <c r="R24" i="2"/>
  <c r="S24" i="2" s="1"/>
  <c r="H11" i="1"/>
  <c r="I11" i="2"/>
  <c r="E11" i="2"/>
  <c r="F11" i="2" s="1"/>
  <c r="L11" i="1"/>
  <c r="M11" i="1" s="1"/>
  <c r="D12" i="1" s="1"/>
  <c r="N11" i="1"/>
  <c r="C12" i="1" s="1"/>
  <c r="U24" i="2" l="1"/>
  <c r="V24" i="2" s="1"/>
  <c r="Q25" i="2" s="1"/>
  <c r="J11" i="2"/>
  <c r="K11" i="2" s="1"/>
  <c r="D12" i="2" s="1"/>
  <c r="H11" i="2"/>
  <c r="L11" i="2" s="1"/>
  <c r="C12" i="2" s="1"/>
  <c r="G12" i="1"/>
  <c r="E12" i="1"/>
  <c r="I12" i="1"/>
  <c r="R25" i="2" l="1"/>
  <c r="S25" i="2" s="1"/>
  <c r="T25" i="2"/>
  <c r="G12" i="2"/>
  <c r="E12" i="2"/>
  <c r="I12" i="2"/>
  <c r="F12" i="1"/>
  <c r="J12" i="1" s="1"/>
  <c r="K12" i="1"/>
  <c r="U25" i="2" l="1"/>
  <c r="V25" i="2" s="1"/>
  <c r="Q26" i="2" s="1"/>
  <c r="T26" i="2" s="1"/>
  <c r="F12" i="2"/>
  <c r="J12" i="2" s="1"/>
  <c r="K12" i="2" s="1"/>
  <c r="H12" i="1"/>
  <c r="L12" i="1"/>
  <c r="M12" i="1" s="1"/>
  <c r="D13" i="1" s="1"/>
  <c r="N12" i="1"/>
  <c r="C13" i="1" s="1"/>
  <c r="R26" i="2" l="1"/>
  <c r="S26" i="2" s="1"/>
  <c r="U26" i="2" s="1"/>
  <c r="V26" i="2" s="1"/>
  <c r="Q27" i="2" s="1"/>
  <c r="H12" i="2"/>
  <c r="L12" i="2" s="1"/>
  <c r="C13" i="2" s="1"/>
  <c r="D13" i="2"/>
  <c r="I13" i="1"/>
  <c r="G13" i="1"/>
  <c r="E13" i="1"/>
  <c r="T27" i="2" l="1"/>
  <c r="R27" i="2"/>
  <c r="S27" i="2" s="1"/>
  <c r="E13" i="2"/>
  <c r="G13" i="2"/>
  <c r="I13" i="2"/>
  <c r="F13" i="1"/>
  <c r="J13" i="1" s="1"/>
  <c r="K13" i="1"/>
  <c r="U27" i="2" l="1"/>
  <c r="V27" i="2" s="1"/>
  <c r="Q28" i="2" s="1"/>
  <c r="F13" i="2"/>
  <c r="H13" i="2" s="1"/>
  <c r="L13" i="2" s="1"/>
  <c r="L13" i="1"/>
  <c r="M13" i="1" s="1"/>
  <c r="D14" i="1" s="1"/>
  <c r="N13" i="1"/>
  <c r="C14" i="1" s="1"/>
  <c r="H13" i="1"/>
  <c r="R28" i="2" l="1"/>
  <c r="S28" i="2" s="1"/>
  <c r="T28" i="2"/>
  <c r="J13" i="2"/>
  <c r="K13" i="2" s="1"/>
  <c r="C14" i="2"/>
  <c r="E14" i="1"/>
  <c r="G14" i="1"/>
  <c r="I14" i="1"/>
  <c r="U28" i="2" l="1"/>
  <c r="V28" i="2" s="1"/>
  <c r="Q29" i="2" s="1"/>
  <c r="D14" i="2"/>
  <c r="I14" i="2" s="1"/>
  <c r="F14" i="1"/>
  <c r="H14" i="1" s="1"/>
  <c r="K14" i="1"/>
  <c r="T29" i="2" l="1"/>
  <c r="R29" i="2"/>
  <c r="S29" i="2" s="1"/>
  <c r="J14" i="1"/>
  <c r="G14" i="2"/>
  <c r="E14" i="2"/>
  <c r="F14" i="2" s="1"/>
  <c r="J14" i="2" s="1"/>
  <c r="K14" i="2" s="1"/>
  <c r="L14" i="1"/>
  <c r="M14" i="1" s="1"/>
  <c r="D15" i="1" s="1"/>
  <c r="N14" i="1"/>
  <c r="C15" i="1" s="1"/>
  <c r="U29" i="2" l="1"/>
  <c r="V29" i="2" s="1"/>
  <c r="Q30" i="2" s="1"/>
  <c r="H14" i="2"/>
  <c r="L14" i="2" s="1"/>
  <c r="C15" i="2" s="1"/>
  <c r="D15" i="2"/>
  <c r="I15" i="1"/>
  <c r="G15" i="1"/>
  <c r="E15" i="1"/>
  <c r="T30" i="2" l="1"/>
  <c r="R30" i="2"/>
  <c r="S30" i="2" s="1"/>
  <c r="I15" i="2"/>
  <c r="G15" i="2"/>
  <c r="E15" i="2"/>
  <c r="F15" i="1"/>
  <c r="H15" i="1" s="1"/>
  <c r="K15" i="1"/>
  <c r="U30" i="2" l="1"/>
  <c r="V30" i="2" s="1"/>
  <c r="Q31" i="2" s="1"/>
  <c r="J15" i="1"/>
  <c r="F15" i="2"/>
  <c r="H15" i="2" s="1"/>
  <c r="L15" i="2" s="1"/>
  <c r="L15" i="1"/>
  <c r="M15" i="1" s="1"/>
  <c r="D16" i="1" s="1"/>
  <c r="N15" i="1"/>
  <c r="C16" i="1" s="1"/>
  <c r="T31" i="2" l="1"/>
  <c r="R31" i="2"/>
  <c r="S31" i="2" s="1"/>
  <c r="J15" i="2"/>
  <c r="K15" i="2" s="1"/>
  <c r="D16" i="2" s="1"/>
  <c r="C16" i="2"/>
  <c r="I16" i="1"/>
  <c r="G16" i="1"/>
  <c r="E16" i="1"/>
  <c r="U31" i="2" l="1"/>
  <c r="V31" i="2" s="1"/>
  <c r="Q32" i="2" s="1"/>
  <c r="G16" i="2"/>
  <c r="E16" i="2"/>
  <c r="I16" i="2"/>
  <c r="F16" i="1"/>
  <c r="J16" i="1" s="1"/>
  <c r="K16" i="1"/>
  <c r="R32" i="2" l="1"/>
  <c r="S32" i="2" s="1"/>
  <c r="T32" i="2"/>
  <c r="H16" i="1"/>
  <c r="F16" i="2"/>
  <c r="J16" i="2" s="1"/>
  <c r="K16" i="2" s="1"/>
  <c r="L16" i="1"/>
  <c r="M16" i="1" s="1"/>
  <c r="D17" i="1" s="1"/>
  <c r="N16" i="1"/>
  <c r="C17" i="1" s="1"/>
  <c r="U32" i="2" l="1"/>
  <c r="V32" i="2" s="1"/>
  <c r="H16" i="2"/>
  <c r="L16" i="2" s="1"/>
  <c r="C17" i="2" s="1"/>
  <c r="D17" i="2"/>
  <c r="I17" i="1"/>
  <c r="G17" i="1"/>
  <c r="E17" i="1"/>
  <c r="I17" i="2" l="1"/>
  <c r="E17" i="2"/>
  <c r="G17" i="2"/>
  <c r="F17" i="1"/>
  <c r="H17" i="1" s="1"/>
  <c r="K17" i="1"/>
  <c r="F17" i="2" l="1"/>
  <c r="J17" i="2" s="1"/>
  <c r="K17" i="2" s="1"/>
  <c r="J17" i="1"/>
  <c r="L17" i="1"/>
  <c r="M17" i="1" s="1"/>
  <c r="D18" i="1" s="1"/>
  <c r="N17" i="1"/>
  <c r="C18" i="1" s="1"/>
  <c r="H17" i="2" l="1"/>
  <c r="L17" i="2" s="1"/>
  <c r="C18" i="2" s="1"/>
  <c r="D18" i="2"/>
  <c r="E18" i="1"/>
  <c r="G18" i="1"/>
  <c r="I18" i="1"/>
  <c r="E18" i="2" l="1"/>
  <c r="G18" i="2"/>
  <c r="I18" i="2"/>
  <c r="F18" i="1"/>
  <c r="J18" i="1" s="1"/>
  <c r="K18" i="1"/>
  <c r="F18" i="2" l="1"/>
  <c r="H18" i="2" s="1"/>
  <c r="L18" i="2" s="1"/>
  <c r="L18" i="1"/>
  <c r="M18" i="1" s="1"/>
  <c r="D19" i="1" s="1"/>
  <c r="N18" i="1"/>
  <c r="C19" i="1" s="1"/>
  <c r="H18" i="1"/>
  <c r="C19" i="2" l="1"/>
  <c r="J18" i="2"/>
  <c r="K18" i="2" s="1"/>
  <c r="G19" i="1"/>
  <c r="E19" i="1"/>
  <c r="I19" i="1"/>
  <c r="D19" i="2" l="1"/>
  <c r="G19" i="2" s="1"/>
  <c r="F19" i="1"/>
  <c r="H19" i="1" s="1"/>
  <c r="K19" i="1"/>
  <c r="J19" i="1" l="1"/>
  <c r="I19" i="2"/>
  <c r="E19" i="2"/>
  <c r="F19" i="2" s="1"/>
  <c r="L19" i="1"/>
  <c r="M19" i="1" s="1"/>
  <c r="D20" i="1" s="1"/>
  <c r="N19" i="1"/>
  <c r="C20" i="1" s="1"/>
  <c r="J19" i="2" l="1"/>
  <c r="K19" i="2" s="1"/>
  <c r="D20" i="2" s="1"/>
  <c r="H19" i="2"/>
  <c r="L19" i="2" s="1"/>
  <c r="C20" i="2" s="1"/>
  <c r="G20" i="1"/>
  <c r="E20" i="1"/>
  <c r="I20" i="1"/>
  <c r="G20" i="2" l="1"/>
  <c r="E20" i="2"/>
  <c r="I20" i="2"/>
  <c r="F20" i="1"/>
  <c r="H20" i="1" s="1"/>
  <c r="K20" i="1"/>
  <c r="F20" i="2" l="1"/>
  <c r="J20" i="2" s="1"/>
  <c r="K20" i="2" s="1"/>
  <c r="J20" i="1"/>
  <c r="L20" i="1"/>
  <c r="M20" i="1" s="1"/>
  <c r="D21" i="1" s="1"/>
  <c r="N20" i="1"/>
  <c r="C21" i="1" s="1"/>
  <c r="H20" i="2" l="1"/>
  <c r="L20" i="2" s="1"/>
  <c r="C21" i="2" s="1"/>
  <c r="D21" i="2"/>
  <c r="G21" i="1"/>
  <c r="E21" i="1"/>
  <c r="I21" i="1"/>
  <c r="E21" i="2" l="1"/>
  <c r="G21" i="2"/>
  <c r="I21" i="2"/>
  <c r="F21" i="1"/>
  <c r="J21" i="1" s="1"/>
  <c r="K21" i="1"/>
  <c r="F21" i="2" l="1"/>
  <c r="J21" i="2" s="1"/>
  <c r="K21" i="2" s="1"/>
  <c r="H21" i="1"/>
  <c r="L21" i="1"/>
  <c r="M21" i="1" s="1"/>
  <c r="D22" i="1" s="1"/>
  <c r="N21" i="1"/>
  <c r="C22" i="1" s="1"/>
  <c r="D22" i="2" l="1"/>
  <c r="H21" i="2"/>
  <c r="L21" i="2" s="1"/>
  <c r="C22" i="2" s="1"/>
  <c r="E22" i="1"/>
  <c r="G22" i="1"/>
  <c r="I22" i="1"/>
  <c r="E22" i="2" l="1"/>
  <c r="G22" i="2"/>
  <c r="I22" i="2"/>
  <c r="F22" i="1"/>
  <c r="H22" i="1" s="1"/>
  <c r="K22" i="1"/>
  <c r="J22" i="1" l="1"/>
  <c r="F22" i="2"/>
  <c r="H22" i="2" s="1"/>
  <c r="L22" i="2" s="1"/>
  <c r="L22" i="1"/>
  <c r="M22" i="1" s="1"/>
  <c r="D23" i="1" s="1"/>
  <c r="N22" i="1"/>
  <c r="C23" i="1" s="1"/>
  <c r="J22" i="2" l="1"/>
  <c r="K22" i="2" s="1"/>
  <c r="D23" i="2" s="1"/>
  <c r="C23" i="2"/>
  <c r="I23" i="1"/>
  <c r="G23" i="1"/>
  <c r="E23" i="1"/>
  <c r="E23" i="2" l="1"/>
  <c r="G23" i="2"/>
  <c r="I23" i="2"/>
  <c r="F23" i="1"/>
  <c r="H23" i="1" s="1"/>
  <c r="K23" i="1"/>
  <c r="J23" i="1" l="1"/>
  <c r="F23" i="2"/>
  <c r="J23" i="2" s="1"/>
  <c r="K23" i="2" s="1"/>
  <c r="L23" i="1"/>
  <c r="M23" i="1" s="1"/>
  <c r="D24" i="1" s="1"/>
  <c r="N23" i="1"/>
  <c r="C24" i="1" s="1"/>
  <c r="D24" i="2" l="1"/>
  <c r="H23" i="2"/>
  <c r="L23" i="2" s="1"/>
  <c r="C24" i="2" s="1"/>
  <c r="G24" i="1"/>
  <c r="E24" i="1"/>
  <c r="I24" i="1"/>
  <c r="E24" i="2" l="1"/>
  <c r="G24" i="2"/>
  <c r="I24" i="2"/>
  <c r="F24" i="1"/>
  <c r="H24" i="1" s="1"/>
  <c r="K24" i="1"/>
  <c r="F24" i="2" l="1"/>
  <c r="J24" i="2" s="1"/>
  <c r="K24" i="2" s="1"/>
  <c r="J24" i="1"/>
  <c r="L24" i="1"/>
  <c r="M24" i="1" s="1"/>
  <c r="D25" i="1" s="1"/>
  <c r="N24" i="1"/>
  <c r="C25" i="1" s="1"/>
  <c r="H24" i="2" l="1"/>
  <c r="L24" i="2" s="1"/>
  <c r="C25" i="2" s="1"/>
  <c r="D25" i="2"/>
  <c r="G25" i="1"/>
  <c r="E25" i="1"/>
  <c r="I25" i="1"/>
  <c r="I25" i="2" l="1"/>
  <c r="E25" i="2"/>
  <c r="G25" i="2"/>
  <c r="F25" i="1"/>
  <c r="J25" i="1" s="1"/>
  <c r="K25" i="1"/>
  <c r="H25" i="1" l="1"/>
  <c r="F25" i="2"/>
  <c r="J25" i="2" s="1"/>
  <c r="K25" i="2" s="1"/>
  <c r="L25" i="1"/>
  <c r="M25" i="1" s="1"/>
  <c r="D26" i="1" s="1"/>
  <c r="N25" i="1"/>
  <c r="C26" i="1" s="1"/>
  <c r="H25" i="2" l="1"/>
  <c r="L25" i="2" s="1"/>
  <c r="C26" i="2" s="1"/>
  <c r="D26" i="2"/>
  <c r="I26" i="1"/>
  <c r="E26" i="1"/>
  <c r="G26" i="1"/>
  <c r="I26" i="2" l="1"/>
  <c r="E26" i="2"/>
  <c r="G26" i="2"/>
  <c r="F26" i="1"/>
  <c r="H26" i="1" s="1"/>
  <c r="K26" i="1"/>
  <c r="F26" i="2" l="1"/>
  <c r="H26" i="2" s="1"/>
  <c r="L26" i="2" s="1"/>
  <c r="J26" i="1"/>
  <c r="L26" i="1"/>
  <c r="M26" i="1" s="1"/>
  <c r="D27" i="1" s="1"/>
  <c r="N26" i="1"/>
  <c r="C27" i="1" s="1"/>
  <c r="J26" i="2" l="1"/>
  <c r="K26" i="2" s="1"/>
  <c r="D27" i="2" s="1"/>
  <c r="C27" i="2"/>
  <c r="G27" i="1"/>
  <c r="E27" i="1"/>
  <c r="I27" i="1"/>
  <c r="E27" i="2" l="1"/>
  <c r="G27" i="2"/>
  <c r="I27" i="2"/>
  <c r="F27" i="1"/>
  <c r="J27" i="1" s="1"/>
  <c r="K27" i="1"/>
  <c r="F27" i="2" l="1"/>
  <c r="H27" i="2" s="1"/>
  <c r="L27" i="2" s="1"/>
  <c r="H27" i="1"/>
  <c r="L27" i="1"/>
  <c r="M27" i="1" s="1"/>
  <c r="D28" i="1" s="1"/>
  <c r="N27" i="1"/>
  <c r="C28" i="1" s="1"/>
  <c r="C28" i="2" l="1"/>
  <c r="J27" i="2"/>
  <c r="K27" i="2" s="1"/>
  <c r="G28" i="1"/>
  <c r="E28" i="1"/>
  <c r="I28" i="1"/>
  <c r="D28" i="2" l="1"/>
  <c r="I28" i="2" s="1"/>
  <c r="F28" i="1"/>
  <c r="J28" i="1" s="1"/>
  <c r="K28" i="1"/>
  <c r="E28" i="2" l="1"/>
  <c r="F28" i="2" s="1"/>
  <c r="J28" i="2" s="1"/>
  <c r="K28" i="2" s="1"/>
  <c r="G28" i="2"/>
  <c r="H28" i="1"/>
  <c r="L28" i="1"/>
  <c r="M28" i="1" s="1"/>
  <c r="D29" i="1" s="1"/>
  <c r="N28" i="1"/>
  <c r="C29" i="1" s="1"/>
  <c r="H28" i="2" l="1"/>
  <c r="L28" i="2" s="1"/>
  <c r="C29" i="2" s="1"/>
  <c r="D29" i="2"/>
  <c r="G29" i="1"/>
  <c r="E29" i="1"/>
  <c r="I29" i="1"/>
  <c r="E29" i="2" l="1"/>
  <c r="G29" i="2"/>
  <c r="I29" i="2"/>
  <c r="F29" i="1"/>
  <c r="J29" i="1" s="1"/>
  <c r="K29" i="1"/>
  <c r="F29" i="2" l="1"/>
  <c r="H29" i="2" s="1"/>
  <c r="L29" i="2" s="1"/>
  <c r="H29" i="1"/>
  <c r="L29" i="1"/>
  <c r="M29" i="1" s="1"/>
  <c r="D30" i="1" s="1"/>
  <c r="N29" i="1"/>
  <c r="C30" i="1" s="1"/>
  <c r="C30" i="2" l="1"/>
  <c r="J29" i="2"/>
  <c r="K29" i="2" s="1"/>
  <c r="E30" i="1"/>
  <c r="G30" i="1"/>
  <c r="I30" i="1"/>
  <c r="D30" i="2" l="1"/>
  <c r="I30" i="2" s="1"/>
  <c r="F30" i="1"/>
  <c r="H30" i="1" s="1"/>
  <c r="K30" i="1"/>
  <c r="G30" i="2" l="1"/>
  <c r="E30" i="2"/>
  <c r="F30" i="2" s="1"/>
  <c r="J30" i="1"/>
  <c r="L30" i="1"/>
  <c r="M30" i="1" s="1"/>
  <c r="D31" i="1" s="1"/>
  <c r="N30" i="1"/>
  <c r="C31" i="1" s="1"/>
  <c r="H30" i="2" l="1"/>
  <c r="L30" i="2" s="1"/>
  <c r="C31" i="2" s="1"/>
  <c r="J30" i="2"/>
  <c r="K30" i="2" s="1"/>
  <c r="G31" i="1"/>
  <c r="E31" i="1"/>
  <c r="I31" i="1"/>
  <c r="D31" i="2" l="1"/>
  <c r="E31" i="2" s="1"/>
  <c r="F31" i="1"/>
  <c r="J31" i="1" s="1"/>
  <c r="K31" i="1"/>
  <c r="H31" i="1" l="1"/>
  <c r="G31" i="2"/>
  <c r="I31" i="2"/>
  <c r="F31" i="2"/>
  <c r="L31" i="1"/>
  <c r="M31" i="1" s="1"/>
  <c r="D32" i="1" s="1"/>
  <c r="N31" i="1"/>
  <c r="C32" i="1" s="1"/>
  <c r="H31" i="2" l="1"/>
  <c r="L31" i="2" s="1"/>
  <c r="C32" i="2" s="1"/>
  <c r="J31" i="2"/>
  <c r="K31" i="2" s="1"/>
  <c r="D32" i="2" s="1"/>
  <c r="I32" i="1"/>
  <c r="G32" i="1"/>
  <c r="E32" i="1"/>
  <c r="I32" i="2" l="1"/>
  <c r="E32" i="2"/>
  <c r="G32" i="2"/>
  <c r="F32" i="1"/>
  <c r="F33" i="1" s="1"/>
  <c r="K32" i="1"/>
  <c r="F32" i="2" l="1"/>
  <c r="F33" i="2" s="1"/>
  <c r="J32" i="1"/>
  <c r="H32" i="1"/>
  <c r="L32" i="1"/>
  <c r="K33" i="1"/>
  <c r="N32" i="1"/>
  <c r="J32" i="2" l="1"/>
  <c r="K32" i="2" s="1"/>
  <c r="H32" i="2"/>
  <c r="L32" i="2" s="1"/>
  <c r="L33" i="1"/>
  <c r="M3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Jeremy Howard</author>
    <author>tc={C51CA04D-D768-DB4B-9B99-0DBA41161B8D}</author>
    <author>Rachel Thomas</author>
    <author>tc={6FB39286-B798-2F45-95B5-D4C70B16755C}</author>
  </authors>
  <commentList>
    <comment ref="C1" authorId="0" shapeId="0" xr:uid="{F5E29015-A72B-5244-9EF5-E041CDAAA9D0}">
      <text>
        <r>
          <rPr>
            <b/>
            <sz val="9"/>
            <color rgb="FF000000"/>
            <rFont val="Tahoma"/>
            <family val="2"/>
          </rPr>
          <t>Jeremy Howard: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These are out initlal guesses. In keras they would be randomly generated. We're just picking '1'</t>
        </r>
      </text>
    </comment>
    <comment ref="F1" authorId="0" shapeId="0" xr:uid="{3848A3CB-B2C7-8142-A66F-0940DB52E04F}">
      <text>
        <r>
          <rPr>
            <b/>
            <sz val="9"/>
            <color rgb="FF000000"/>
            <rFont val="Tahoma"/>
            <family val="2"/>
          </rPr>
          <t>Jeremy Howard: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Our learning rate, which defines how quickly we update our guesses</t>
        </r>
      </text>
    </comment>
    <comment ref="A3" authorId="0" shapeId="0" xr:uid="{CD7672B7-73BF-9E46-816D-97CECAF09ADB}">
      <text>
        <r>
          <rPr>
            <b/>
            <sz val="9"/>
            <color rgb="FF000000"/>
            <rFont val="Tahoma"/>
            <family val="2"/>
          </rPr>
          <t>Jeremy Howard: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This is the input x &amp; y data. Because it was randomly generated, it won't be the same as in the 'data' sheet</t>
        </r>
      </text>
    </comment>
    <comment ref="G3" authorId="1" shapeId="0" xr:uid="{C51CA04D-D768-DB4B-9B99-0DBA41161B8D}">
      <text>
        <t>[Threaded comment]
Your version of Excel allows you to read this threaded comment; however, any edits to it will get removed if the file is opened in a newer version of Excel. Learn more: https://go.microsoft.com/fwlink/?linkid=870924
Comment:
    Increase intercept by 0.01, to see how error changes</t>
      </text>
    </comment>
    <comment ref="H3" authorId="2" shapeId="0" xr:uid="{58B01E82-743B-7446-8531-8E8531F67F45}">
      <text>
        <r>
          <rPr>
            <b/>
            <sz val="9"/>
            <color rgb="FF000000"/>
            <rFont val="Tahoma"/>
            <family val="2"/>
          </rPr>
          <t>Rachel Thomas: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calculating numerically
</t>
        </r>
      </text>
    </comment>
    <comment ref="I3" authorId="3" shapeId="0" xr:uid="{6FB39286-B798-2F45-95B5-D4C70B16755C}">
      <text>
        <t>[Threaded comment]
Your version of Excel allows you to read this threaded comment; however, any edits to it will get removed if the file is opened in a newer version of Excel. Learn more: https://go.microsoft.com/fwlink/?linkid=870924
Comment:
    Increase slop by 0.01 and see how error changes</t>
      </text>
    </comment>
    <comment ref="K3" authorId="2" shapeId="0" xr:uid="{1C6243D6-06CC-4F47-BBC0-185344832906}">
      <text>
        <r>
          <rPr>
            <b/>
            <sz val="9"/>
            <color rgb="FF000000"/>
            <rFont val="Tahoma"/>
            <family val="2"/>
          </rPr>
          <t>Rachel Thomas: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calculated analytically.  Use Wolfram-Alpha to get analytical deriv.  Theano and Tensor Flow calculate analytic derivatives for you</t>
        </r>
      </text>
    </comment>
    <comment ref="C4" authorId="0" shapeId="0" xr:uid="{320D788C-22B1-AC4A-94A4-2CA08AF03550}">
      <text>
        <r>
          <rPr>
            <b/>
            <sz val="9"/>
            <color rgb="FF000000"/>
            <rFont val="Tahoma"/>
            <family val="2"/>
          </rPr>
          <t>Jeremy Howard: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This is our guess for the first row of data</t>
        </r>
      </text>
    </comment>
    <comment ref="M4" authorId="0" shapeId="0" xr:uid="{882BE82B-A036-C441-AFFE-71EC3E53A5BF}">
      <text>
        <r>
          <rPr>
            <b/>
            <sz val="9"/>
            <color rgb="FF000000"/>
            <rFont val="Tahoma"/>
            <family val="2"/>
          </rPr>
          <t>Jeremy Howard: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This is the new guess, which will be copied to columns C &amp; D in the next row</t>
        </r>
      </text>
    </comment>
    <comment ref="C5" authorId="0" shapeId="0" xr:uid="{902C104D-7ACB-2944-A57F-59414311E7F9}">
      <text>
        <r>
          <rPr>
            <b/>
            <sz val="9"/>
            <color rgb="FF000000"/>
            <rFont val="Tahoma"/>
            <family val="2"/>
          </rPr>
          <t>Jeremy Howard: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On the 2nd row, our guess has been updated slightly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Jeremy Howard</author>
    <author>tc={298C13B5-8BE3-0644-A790-B9C05A7C3D28}</author>
    <author>Rachel Thomas</author>
    <author>tc={0AFC1ACF-1D28-DF4E-BE63-B35334CB3751}</author>
    <author>tc={D5DEDB92-7794-6541-9EB3-CF52657C4408}</author>
  </authors>
  <commentList>
    <comment ref="C1" authorId="0" shapeId="0" xr:uid="{E6C59A00-B7E0-5249-9958-CACF6809090D}">
      <text>
        <r>
          <rPr>
            <b/>
            <sz val="9"/>
            <color rgb="FF000000"/>
            <rFont val="Tahoma"/>
            <family val="2"/>
          </rPr>
          <t>Jeremy Howard: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These are out initlal guesses. In keras they would be randomly generated. We're just picking '1'</t>
        </r>
      </text>
    </comment>
    <comment ref="F1" authorId="0" shapeId="0" xr:uid="{05CD1C05-3A27-7742-800F-CD0EC8A45038}">
      <text>
        <r>
          <rPr>
            <b/>
            <sz val="9"/>
            <color rgb="FF000000"/>
            <rFont val="Tahoma"/>
            <family val="2"/>
          </rPr>
          <t>Jeremy Howard: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Our learning rate, which defines how quickly we update our guesses</t>
        </r>
      </text>
    </comment>
    <comment ref="A3" authorId="0" shapeId="0" xr:uid="{788F6AAA-A729-5948-8B5A-969CB9220D67}">
      <text>
        <r>
          <rPr>
            <b/>
            <sz val="9"/>
            <color rgb="FF000000"/>
            <rFont val="Tahoma"/>
            <family val="2"/>
          </rPr>
          <t>Jeremy Howard: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This is the input x &amp; y data. Because it was randomly generated, it won't be the same as in the 'data' sheet</t>
        </r>
      </text>
    </comment>
    <comment ref="G3" authorId="1" shapeId="0" xr:uid="{298C13B5-8BE3-0644-A790-B9C05A7C3D28}">
      <text>
        <t>[Threaded comment]
Your version of Excel allows you to read this threaded comment; however, any edits to it will get removed if the file is opened in a newer version of Excel. Learn more: https://go.microsoft.com/fwlink/?linkid=870924
Comment:
    Increase intercept by 0.01, to see how error changes</t>
      </text>
    </comment>
    <comment ref="H3" authorId="2" shapeId="0" xr:uid="{18337D4E-FF7F-A141-9D22-E0E94348E958}">
      <text>
        <r>
          <rPr>
            <b/>
            <sz val="9"/>
            <color rgb="FF000000"/>
            <rFont val="Tahoma"/>
            <family val="2"/>
          </rPr>
          <t>Rachel Thomas: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calculating numerically
</t>
        </r>
      </text>
    </comment>
    <comment ref="I3" authorId="3" shapeId="0" xr:uid="{0AFC1ACF-1D28-DF4E-BE63-B35334CB3751}">
      <text>
        <t>[Threaded comment]
Your version of Excel allows you to read this threaded comment; however, any edits to it will get removed if the file is opened in a newer version of Excel. Learn more: https://go.microsoft.com/fwlink/?linkid=870924
Comment:
    Increase slop by 0.01 and see how error changes</t>
      </text>
    </comment>
    <comment ref="T3" authorId="4" shapeId="0" xr:uid="{D5DEDB92-7794-6541-9EB3-CF52657C4408}">
      <text>
        <t>[Threaded comment]
Your version of Excel allows you to read this threaded comment; however, any edits to it will get removed if the file is opened in a newer version of Excel. Learn more: https://go.microsoft.com/fwlink/?linkid=870924
Comment:
    Increase slop by 0.01 and see how error changes</t>
      </text>
    </comment>
    <comment ref="C4" authorId="0" shapeId="0" xr:uid="{A298866D-7CE0-744F-92C4-35A68D30298D}">
      <text>
        <r>
          <rPr>
            <b/>
            <sz val="9"/>
            <color rgb="FF000000"/>
            <rFont val="Tahoma"/>
            <family val="2"/>
          </rPr>
          <t>Jeremy Howard: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This is our guess for the first row of data</t>
        </r>
      </text>
    </comment>
    <comment ref="K4" authorId="0" shapeId="0" xr:uid="{3712A388-66D4-C847-9948-4E9B63772C1D}">
      <text>
        <r>
          <rPr>
            <b/>
            <sz val="9"/>
            <color rgb="FF000000"/>
            <rFont val="Tahoma"/>
            <family val="2"/>
          </rPr>
          <t>Jeremy Howard: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This is the new guess, which will be copied to columns C &amp; D in the next row</t>
        </r>
      </text>
    </comment>
    <comment ref="V4" authorId="0" shapeId="0" xr:uid="{2B0B589E-68A3-A34C-A486-CFD01B5DCCF9}">
      <text>
        <r>
          <rPr>
            <b/>
            <sz val="9"/>
            <color rgb="FF000000"/>
            <rFont val="Tahoma"/>
            <family val="2"/>
          </rPr>
          <t>Jeremy Howard: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This is the new guess, which will be copied to columns C &amp; D in the next row</t>
        </r>
      </text>
    </comment>
    <comment ref="C5" authorId="0" shapeId="0" xr:uid="{247B2047-874B-2547-AE9E-9005D45DF3C7}">
      <text>
        <r>
          <rPr>
            <b/>
            <sz val="9"/>
            <color rgb="FF000000"/>
            <rFont val="Tahoma"/>
            <family val="2"/>
          </rPr>
          <t>Jeremy Howard: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On the 2nd row, our guess has been updated slightly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Jeremy Howard</author>
    <author>tc={0CA83FA6-0941-7C4F-9C34-D082DF93B69F}</author>
    <author>Rachel Thomas</author>
    <author>tc={DE2DB525-339C-0742-8058-89D79152AB57}</author>
  </authors>
  <commentList>
    <comment ref="C1" authorId="0" shapeId="0" xr:uid="{43BA8A2A-0A3B-4947-8FE2-2EC51B2B70F9}">
      <text>
        <r>
          <rPr>
            <b/>
            <sz val="9"/>
            <color rgb="FF000000"/>
            <rFont val="Tahoma"/>
            <family val="2"/>
          </rPr>
          <t>Jeremy Howard: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These are out initlal guesses. In keras they would be randomly generated. We're just picking '1'</t>
        </r>
      </text>
    </comment>
    <comment ref="H1" authorId="0" shapeId="0" xr:uid="{93F10EB4-AA04-6946-B787-7E0B11AAEAF3}">
      <text>
        <r>
          <rPr>
            <b/>
            <sz val="9"/>
            <color rgb="FF000000"/>
            <rFont val="Tahoma"/>
            <family val="2"/>
          </rPr>
          <t>Jeremy Howard: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Our learning rate, which defines how quickly we update our guesses</t>
        </r>
      </text>
    </comment>
    <comment ref="A6" authorId="0" shapeId="0" xr:uid="{D5314E53-C7B6-A54C-A0F3-AE8E59E0A2BE}">
      <text>
        <r>
          <rPr>
            <b/>
            <sz val="9"/>
            <color rgb="FF000000"/>
            <rFont val="Tahoma"/>
            <family val="2"/>
          </rPr>
          <t>Jeremy Howard: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This is the input x &amp; y data. Because it was randomly generated, it won't be the same as in the 'data' sheet</t>
        </r>
      </text>
    </comment>
    <comment ref="I6" authorId="1" shapeId="0" xr:uid="{0CA83FA6-0941-7C4F-9C34-D082DF93B69F}">
      <text>
        <t>[Threaded comment]
Your version of Excel allows you to read this threaded comment; however, any edits to it will get removed if the file is opened in a newer version of Excel. Learn more: https://go.microsoft.com/fwlink/?linkid=870924
Comment:
    Increase intercept by 0.01, to see how error changes</t>
      </text>
    </comment>
    <comment ref="J6" authorId="2" shapeId="0" xr:uid="{6569E494-BCE7-F94B-A9A2-3484FAA996B2}">
      <text>
        <r>
          <rPr>
            <b/>
            <sz val="9"/>
            <color rgb="FF000000"/>
            <rFont val="Tahoma"/>
            <family val="2"/>
          </rPr>
          <t>Rachel Thomas: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calculating numerically
</t>
        </r>
      </text>
    </comment>
    <comment ref="K6" authorId="3" shapeId="0" xr:uid="{DE2DB525-339C-0742-8058-89D79152AB57}">
      <text>
        <t>[Threaded comment]
Your version of Excel allows you to read this threaded comment; however, any edits to it will get removed if the file is opened in a newer version of Excel. Learn more: https://go.microsoft.com/fwlink/?linkid=870924
Comment:
    Increase slop by 0.01 and see how error changes</t>
      </text>
    </comment>
    <comment ref="X6" authorId="2" shapeId="0" xr:uid="{273D7224-AFA9-D24D-B489-4178F817D177}">
      <text>
        <r>
          <rPr>
            <b/>
            <sz val="9"/>
            <color rgb="FF000000"/>
            <rFont val="Tahoma"/>
            <family val="2"/>
          </rPr>
          <t>Rachel Thomas: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calculated analytically.  Use Wolfram-Alpha to get analytical deriv.  Theano and Tensor Flow calculate analytic derivatives for you</t>
        </r>
      </text>
    </comment>
    <comment ref="C7" authorId="0" shapeId="0" xr:uid="{32F132CE-1ED0-3D41-A497-81515A44AF1C}">
      <text>
        <r>
          <rPr>
            <b/>
            <sz val="9"/>
            <color rgb="FF000000"/>
            <rFont val="Tahoma"/>
            <family val="2"/>
          </rPr>
          <t>Jeremy Howard: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This is our guess for the first row of data</t>
        </r>
      </text>
    </comment>
    <comment ref="Q7" authorId="0" shapeId="0" xr:uid="{20F551E3-8D78-D44F-9B56-B8F4EC3C449F}">
      <text>
        <r>
          <rPr>
            <b/>
            <sz val="9"/>
            <color rgb="FF000000"/>
            <rFont val="Tahoma"/>
            <family val="2"/>
          </rPr>
          <t>Jeremy Howard: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This is the new guess, which will be copied to columns C &amp; D in the next row</t>
        </r>
      </text>
    </comment>
    <comment ref="C8" authorId="0" shapeId="0" xr:uid="{D40CEE59-F579-9D4D-86ED-32472DE82721}">
      <text>
        <r>
          <rPr>
            <b/>
            <sz val="9"/>
            <color rgb="FF000000"/>
            <rFont val="Tahoma"/>
            <family val="2"/>
          </rPr>
          <t>Jeremy Howard: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On the 2nd row, our guess has been updated slightly</t>
        </r>
      </text>
    </comment>
  </commentList>
</comments>
</file>

<file path=xl/sharedStrings.xml><?xml version="1.0" encoding="utf-8"?>
<sst xmlns="http://schemas.openxmlformats.org/spreadsheetml/2006/main" count="99" uniqueCount="52">
  <si>
    <t>intercept</t>
  </si>
  <si>
    <t>learn</t>
  </si>
  <si>
    <t>de/da=x*2(ax+b-y)</t>
  </si>
  <si>
    <t>slope</t>
  </si>
  <si>
    <t>e=(ax+b-y)^2</t>
  </si>
  <si>
    <t>de/db=2(ax+b-y)</t>
  </si>
  <si>
    <t>x</t>
  </si>
  <si>
    <t>y</t>
  </si>
  <si>
    <t>intercept: b</t>
  </si>
  <si>
    <t>slope: a</t>
  </si>
  <si>
    <t>y_pred</t>
  </si>
  <si>
    <t>err^2</t>
  </si>
  <si>
    <t>errb1</t>
  </si>
  <si>
    <t>est de/db</t>
  </si>
  <si>
    <t>erra1</t>
  </si>
  <si>
    <t>est de/da</t>
  </si>
  <si>
    <t>de/db</t>
  </si>
  <si>
    <t>de/da</t>
  </si>
  <si>
    <t>new a</t>
  </si>
  <si>
    <t>new b</t>
  </si>
  <si>
    <t>rmse</t>
  </si>
  <si>
    <t>Paste error here:</t>
  </si>
  <si>
    <t>freeze b</t>
  </si>
  <si>
    <t>range a</t>
  </si>
  <si>
    <t>temp_y</t>
  </si>
  <si>
    <t>temp_error</t>
  </si>
  <si>
    <t>intercept: b, d</t>
  </si>
  <si>
    <t>model function</t>
  </si>
  <si>
    <t>y=c(a*x+b)+d</t>
  </si>
  <si>
    <t>think of it as a 2-neuron model with 4 weights (a, b, c, d) without activation function</t>
  </si>
  <si>
    <t>slope: a, c</t>
  </si>
  <si>
    <t>target function</t>
  </si>
  <si>
    <t>y = 2x + 30</t>
  </si>
  <si>
    <t>think of it as a neuron model with 2 weights (a, b)</t>
  </si>
  <si>
    <t>e=((ax+b)*c + d - y)^2</t>
  </si>
  <si>
    <t>e=((ax + b + 0.01)*c + d - y)^2</t>
  </si>
  <si>
    <t>e=(((a + 0.01)*x + b)*c + d - y)^2</t>
  </si>
  <si>
    <t>e=(a*x+b)*c + d + 0.01 -y)^2</t>
  </si>
  <si>
    <t>e =( (a*x+b)*(c+0.01) + d - y)^2</t>
  </si>
  <si>
    <t>target: 2</t>
  </si>
  <si>
    <t>target: 30</t>
  </si>
  <si>
    <t>const: b</t>
  </si>
  <si>
    <t>const2: d</t>
  </si>
  <si>
    <t>slope2: c</t>
  </si>
  <si>
    <t>errd1</t>
  </si>
  <si>
    <t>est de/dd</t>
  </si>
  <si>
    <t>errc1</t>
  </si>
  <si>
    <t>est de/dc</t>
  </si>
  <si>
    <t>new c</t>
  </si>
  <si>
    <t>new d</t>
  </si>
  <si>
    <t>a*c</t>
  </si>
  <si>
    <t>c*b+d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</si>
</sst>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0"/>
      <color rgb="FF000000"/>
      <name val="Tahoma"/>
      <family val="2"/>
    </font>
    <font>
      <sz val="11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2" fillId="0" borderId="0" xfId="0" applyFont="1"/>
    <xf numFmtId="3" fontId="0" fillId="0" borderId="0" xfId="0" applyNumberFormat="1"/>
    <xf numFmtId="4" fontId="0" fillId="0" borderId="0" xfId="0" applyNumberFormat="1"/>
    <xf numFmtId="0" fontId="0" fillId="0" borderId="0" xfId="0" applyBorder="1"/>
    <xf numFmtId="0" fontId="2" fillId="0" borderId="1" xfId="0" applyFont="1" applyBorder="1"/>
    <xf numFmtId="0" fontId="2" fillId="0" borderId="2" xfId="0" applyFont="1" applyBorder="1"/>
    <xf numFmtId="0" fontId="2" fillId="0" borderId="3" xfId="0" applyFont="1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6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Error by</a:t>
            </a:r>
            <a:r>
              <a:rPr lang="en-US" baseline="0"/>
              <a:t> epoch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'basic SGD'!$C$38:$C$62</c:f>
              <c:numCache>
                <c:formatCode>General</c:formatCode>
                <c:ptCount val="25"/>
                <c:pt idx="0">
                  <c:v>150.75521153771854</c:v>
                </c:pt>
                <c:pt idx="1">
                  <c:v>104.74921026693299</c:v>
                </c:pt>
                <c:pt idx="2">
                  <c:v>104.55969980561993</c:v>
                </c:pt>
                <c:pt idx="3">
                  <c:v>104.37053295106034</c:v>
                </c:pt>
                <c:pt idx="4">
                  <c:v>104.18170833255277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87-7F42-AA66-D94BB646F3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517095648"/>
        <c:axId val="-1517097824"/>
      </c:lineChart>
      <c:catAx>
        <c:axId val="-151709564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N"/>
          </a:p>
        </c:txPr>
        <c:crossAx val="-1517097824"/>
        <c:crosses val="autoZero"/>
        <c:auto val="1"/>
        <c:lblAlgn val="ctr"/>
        <c:lblOffset val="100"/>
        <c:noMultiLvlLbl val="0"/>
      </c:catAx>
      <c:valAx>
        <c:axId val="-1517097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N"/>
          </a:p>
        </c:txPr>
        <c:crossAx val="-1517095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Error by</a:t>
            </a:r>
            <a:r>
              <a:rPr lang="en-US" baseline="0"/>
              <a:t> epoch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'freeze-b-range-a'!$C$38:$C$62</c:f>
              <c:numCache>
                <c:formatCode>General</c:formatCode>
                <c:ptCount val="25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3D8-B945-A67E-89B742F959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517095648"/>
        <c:axId val="-1517097824"/>
      </c:lineChart>
      <c:catAx>
        <c:axId val="-151709564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N"/>
          </a:p>
        </c:txPr>
        <c:crossAx val="-1517097824"/>
        <c:crosses val="autoZero"/>
        <c:auto val="1"/>
        <c:lblAlgn val="ctr"/>
        <c:lblOffset val="100"/>
        <c:noMultiLvlLbl val="0"/>
      </c:catAx>
      <c:valAx>
        <c:axId val="-1517097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N"/>
          </a:p>
        </c:txPr>
        <c:crossAx val="-1517095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5505249343832"/>
          <c:y val="0.16243073782443862"/>
          <c:w val="0.86487510936132983"/>
          <c:h val="0.6150681685622631"/>
        </c:manualLayout>
      </c:layout>
      <c:lineChart>
        <c:grouping val="standard"/>
        <c:varyColors val="0"/>
        <c:ser>
          <c:idx val="1"/>
          <c:order val="0"/>
          <c:tx>
            <c:strRef>
              <c:f>'freeze-b-range-a'!$P$3</c:f>
              <c:strCache>
                <c:ptCount val="1"/>
                <c:pt idx="0">
                  <c:v>temp_error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'freeze-b-range-a'!$Q$4:$Q$32</c:f>
              <c:numCache>
                <c:formatCode>#,##0.00</c:formatCode>
                <c:ptCount val="29"/>
                <c:pt idx="0" formatCode="General">
                  <c:v>1</c:v>
                </c:pt>
                <c:pt idx="1">
                  <c:v>1.1202040000000011</c:v>
                </c:pt>
                <c:pt idx="2" formatCode="General">
                  <c:v>2.9130022432000144</c:v>
                </c:pt>
                <c:pt idx="3" formatCode="General">
                  <c:v>2.9314594914662524</c:v>
                </c:pt>
                <c:pt idx="4" formatCode="General">
                  <c:v>2.7401132640055117</c:v>
                </c:pt>
                <c:pt idx="5" formatCode="General">
                  <c:v>2.7856795042094453</c:v>
                </c:pt>
                <c:pt idx="6" formatCode="General">
                  <c:v>2.8208872116014159</c:v>
                </c:pt>
                <c:pt idx="7" formatCode="General">
                  <c:v>2.3822073506130863</c:v>
                </c:pt>
                <c:pt idx="8" formatCode="General">
                  <c:v>2.4441223394617433</c:v>
                </c:pt>
                <c:pt idx="9" formatCode="General">
                  <c:v>2.2975208940133354</c:v>
                </c:pt>
                <c:pt idx="10" formatCode="General">
                  <c:v>2.3709074537827344</c:v>
                </c:pt>
                <c:pt idx="11" formatCode="General">
                  <c:v>2.4818873040881826</c:v>
                </c:pt>
                <c:pt idx="12" formatCode="General">
                  <c:v>2.467168344705188</c:v>
                </c:pt>
                <c:pt idx="13" formatCode="General">
                  <c:v>2.5311643700144337</c:v>
                </c:pt>
                <c:pt idx="14" formatCode="General">
                  <c:v>2.6028040993608963</c:v>
                </c:pt>
                <c:pt idx="15" formatCode="General">
                  <c:v>2.6451576729512496</c:v>
                </c:pt>
                <c:pt idx="16" formatCode="General">
                  <c:v>2.6777921370029283</c:v>
                </c:pt>
                <c:pt idx="17" formatCode="General">
                  <c:v>2.6686150215553948</c:v>
                </c:pt>
                <c:pt idx="18" formatCode="General">
                  <c:v>1.9223948563025033</c:v>
                </c:pt>
                <c:pt idx="19" formatCode="General">
                  <c:v>2.000248910159478</c:v>
                </c:pt>
                <c:pt idx="20" formatCode="General">
                  <c:v>2.1215859562834125</c:v>
                </c:pt>
                <c:pt idx="21" formatCode="General">
                  <c:v>2.2641372783381701</c:v>
                </c:pt>
                <c:pt idx="22" formatCode="General">
                  <c:v>2.3586062960711152</c:v>
                </c:pt>
                <c:pt idx="23" formatCode="General">
                  <c:v>2.4003521354814041</c:v>
                </c:pt>
                <c:pt idx="24" formatCode="General">
                  <c:v>2.4394876660950371</c:v>
                </c:pt>
                <c:pt idx="25" formatCode="General">
                  <c:v>2.1424029430155516</c:v>
                </c:pt>
                <c:pt idx="26" formatCode="General">
                  <c:v>2.4039480588603066</c:v>
                </c:pt>
                <c:pt idx="27" formatCode="General">
                  <c:v>2.500923431878467</c:v>
                </c:pt>
                <c:pt idx="28" formatCode="General">
                  <c:v>2.5702810575158894</c:v>
                </c:pt>
              </c:numCache>
            </c:numRef>
          </c:cat>
          <c:val>
            <c:numRef>
              <c:f>'freeze-b-range-a'!$P$4:$P$32</c:f>
              <c:numCache>
                <c:formatCode>General</c:formatCode>
                <c:ptCount val="29"/>
                <c:pt idx="0">
                  <c:v>2500</c:v>
                </c:pt>
                <c:pt idx="1">
                  <c:v>22320.36</c:v>
                </c:pt>
                <c:pt idx="2">
                  <c:v>4277.1600000000008</c:v>
                </c:pt>
                <c:pt idx="3">
                  <c:v>8136.0399999999981</c:v>
                </c:pt>
                <c:pt idx="4">
                  <c:v>3576.0399999999995</c:v>
                </c:pt>
                <c:pt idx="5">
                  <c:v>3364</c:v>
                </c:pt>
                <c:pt idx="6">
                  <c:v>8798.4399999999987</c:v>
                </c:pt>
                <c:pt idx="7">
                  <c:v>6177.9600000000009</c:v>
                </c:pt>
                <c:pt idx="8">
                  <c:v>7708.8399999999992</c:v>
                </c:pt>
                <c:pt idx="9">
                  <c:v>1444</c:v>
                </c:pt>
                <c:pt idx="10">
                  <c:v>2500</c:v>
                </c:pt>
                <c:pt idx="11">
                  <c:v>2894.4399999999996</c:v>
                </c:pt>
                <c:pt idx="12">
                  <c:v>1857.6100000000008</c:v>
                </c:pt>
                <c:pt idx="13">
                  <c:v>1296</c:v>
                </c:pt>
                <c:pt idx="14">
                  <c:v>894.0100000000001</c:v>
                </c:pt>
                <c:pt idx="15">
                  <c:v>841</c:v>
                </c:pt>
                <c:pt idx="16">
                  <c:v>605.15999999999974</c:v>
                </c:pt>
                <c:pt idx="17">
                  <c:v>84.639999999999787</c:v>
                </c:pt>
                <c:pt idx="18">
                  <c:v>630.0100000000001</c:v>
                </c:pt>
                <c:pt idx="19">
                  <c:v>424.36000000000007</c:v>
                </c:pt>
                <c:pt idx="20">
                  <c:v>225</c:v>
                </c:pt>
                <c:pt idx="21">
                  <c:v>289</c:v>
                </c:pt>
                <c:pt idx="22">
                  <c:v>547.55999999999995</c:v>
                </c:pt>
                <c:pt idx="23">
                  <c:v>492.83999999999952</c:v>
                </c:pt>
                <c:pt idx="24">
                  <c:v>3612.0099999999961</c:v>
                </c:pt>
                <c:pt idx="25">
                  <c:v>1681</c:v>
                </c:pt>
                <c:pt idx="26">
                  <c:v>0.49000000000000399</c:v>
                </c:pt>
                <c:pt idx="27">
                  <c:v>73.959999999999908</c:v>
                </c:pt>
                <c:pt idx="28">
                  <c:v>345.96000000000004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C1A-B643-BA37-D02C17D6C362}"/>
            </c:ext>
          </c:extLst>
        </c:ser>
        <c:ser>
          <c:idx val="0"/>
          <c:order val="1"/>
          <c:tx>
            <c:strRef>
              <c:f>'freeze-b-range-a'!$S$3</c:f>
              <c:strCache>
                <c:ptCount val="1"/>
                <c:pt idx="0">
                  <c:v>err^2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'freeze-b-range-a'!$Q$4:$Q$32</c:f>
              <c:numCache>
                <c:formatCode>#,##0.00</c:formatCode>
                <c:ptCount val="29"/>
                <c:pt idx="0" formatCode="General">
                  <c:v>1</c:v>
                </c:pt>
                <c:pt idx="1">
                  <c:v>1.1202040000000011</c:v>
                </c:pt>
                <c:pt idx="2" formatCode="General">
                  <c:v>2.9130022432000144</c:v>
                </c:pt>
                <c:pt idx="3" formatCode="General">
                  <c:v>2.9314594914662524</c:v>
                </c:pt>
                <c:pt idx="4" formatCode="General">
                  <c:v>2.7401132640055117</c:v>
                </c:pt>
                <c:pt idx="5" formatCode="General">
                  <c:v>2.7856795042094453</c:v>
                </c:pt>
                <c:pt idx="6" formatCode="General">
                  <c:v>2.8208872116014159</c:v>
                </c:pt>
                <c:pt idx="7" formatCode="General">
                  <c:v>2.3822073506130863</c:v>
                </c:pt>
                <c:pt idx="8" formatCode="General">
                  <c:v>2.4441223394617433</c:v>
                </c:pt>
                <c:pt idx="9" formatCode="General">
                  <c:v>2.2975208940133354</c:v>
                </c:pt>
                <c:pt idx="10" formatCode="General">
                  <c:v>2.3709074537827344</c:v>
                </c:pt>
                <c:pt idx="11" formatCode="General">
                  <c:v>2.4818873040881826</c:v>
                </c:pt>
                <c:pt idx="12" formatCode="General">
                  <c:v>2.467168344705188</c:v>
                </c:pt>
                <c:pt idx="13" formatCode="General">
                  <c:v>2.5311643700144337</c:v>
                </c:pt>
                <c:pt idx="14" formatCode="General">
                  <c:v>2.6028040993608963</c:v>
                </c:pt>
                <c:pt idx="15" formatCode="General">
                  <c:v>2.6451576729512496</c:v>
                </c:pt>
                <c:pt idx="16" formatCode="General">
                  <c:v>2.6777921370029283</c:v>
                </c:pt>
                <c:pt idx="17" formatCode="General">
                  <c:v>2.6686150215553948</c:v>
                </c:pt>
                <c:pt idx="18" formatCode="General">
                  <c:v>1.9223948563025033</c:v>
                </c:pt>
                <c:pt idx="19" formatCode="General">
                  <c:v>2.000248910159478</c:v>
                </c:pt>
                <c:pt idx="20" formatCode="General">
                  <c:v>2.1215859562834125</c:v>
                </c:pt>
                <c:pt idx="21" formatCode="General">
                  <c:v>2.2641372783381701</c:v>
                </c:pt>
                <c:pt idx="22" formatCode="General">
                  <c:v>2.3586062960711152</c:v>
                </c:pt>
                <c:pt idx="23" formatCode="General">
                  <c:v>2.4003521354814041</c:v>
                </c:pt>
                <c:pt idx="24" formatCode="General">
                  <c:v>2.4394876660950371</c:v>
                </c:pt>
                <c:pt idx="25" formatCode="General">
                  <c:v>2.1424029430155516</c:v>
                </c:pt>
                <c:pt idx="26" formatCode="General">
                  <c:v>2.4039480588603066</c:v>
                </c:pt>
                <c:pt idx="27" formatCode="General">
                  <c:v>2.500923431878467</c:v>
                </c:pt>
                <c:pt idx="28" formatCode="General">
                  <c:v>2.5702810575158894</c:v>
                </c:pt>
              </c:numCache>
            </c:numRef>
          </c:cat>
          <c:val>
            <c:numRef>
              <c:f>'freeze-b-range-a'!$S$4:$S$32</c:f>
              <c:numCache>
                <c:formatCode>#,##0</c:formatCode>
                <c:ptCount val="29"/>
                <c:pt idx="0">
                  <c:v>1849</c:v>
                </c:pt>
                <c:pt idx="1">
                  <c:v>10954.229695951917</c:v>
                </c:pt>
                <c:pt idx="2">
                  <c:v>11.805664376371091</c:v>
                </c:pt>
                <c:pt idx="3">
                  <c:v>342.41408005774895</c:v>
                </c:pt>
                <c:pt idx="4">
                  <c:v>68.505891803652531</c:v>
                </c:pt>
                <c:pt idx="5">
                  <c:v>38.629884204279605</c:v>
                </c:pt>
                <c:pt idx="6">
                  <c:v>906.24354501364371</c:v>
                </c:pt>
                <c:pt idx="7">
                  <c:v>28.123339063463135</c:v>
                </c:pt>
                <c:pt idx="8">
                  <c:v>68.994229540092874</c:v>
                </c:pt>
                <c:pt idx="9">
                  <c:v>602.07352574265963</c:v>
                </c:pt>
                <c:pt idx="10">
                  <c:v>180.14704906034589</c:v>
                </c:pt>
                <c:pt idx="11">
                  <c:v>0.7691515451468669</c:v>
                </c:pt>
                <c:pt idx="12">
                  <c:v>49.605085742396554</c:v>
                </c:pt>
                <c:pt idx="13">
                  <c:v>108.35242413741668</c:v>
                </c:pt>
                <c:pt idx="14">
                  <c:v>555.76945549232255</c:v>
                </c:pt>
                <c:pt idx="15">
                  <c:v>20.106331581052387</c:v>
                </c:pt>
                <c:pt idx="16">
                  <c:v>0.6770887516078653</c:v>
                </c:pt>
                <c:pt idx="17">
                  <c:v>1383.3108533612779</c:v>
                </c:pt>
                <c:pt idx="18">
                  <c:v>900.53209070539674</c:v>
                </c:pt>
                <c:pt idx="19">
                  <c:v>840.69685474846983</c:v>
                </c:pt>
                <c:pt idx="20">
                  <c:v>655.13439249177407</c:v>
                </c:pt>
                <c:pt idx="21">
                  <c:v>562.50815785088105</c:v>
                </c:pt>
                <c:pt idx="22">
                  <c:v>682.83698106024065</c:v>
                </c:pt>
                <c:pt idx="23">
                  <c:v>11.407258540024111</c:v>
                </c:pt>
                <c:pt idx="24">
                  <c:v>210.51917545764232</c:v>
                </c:pt>
                <c:pt idx="25">
                  <c:v>362.20918243636419</c:v>
                </c:pt>
                <c:pt idx="26">
                  <c:v>327.37121079811976</c:v>
                </c:pt>
                <c:pt idx="27">
                  <c:v>419.60661441864789</c:v>
                </c:pt>
                <c:pt idx="28">
                  <c:v>597.20370032455958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C1A-B643-BA37-D02C17D6C3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0589375"/>
        <c:axId val="32804143"/>
      </c:lineChart>
      <c:catAx>
        <c:axId val="2405893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N"/>
          </a:p>
        </c:txPr>
        <c:crossAx val="32804143"/>
        <c:crosses val="autoZero"/>
        <c:auto val="1"/>
        <c:lblAlgn val="ctr"/>
        <c:lblOffset val="100"/>
        <c:noMultiLvlLbl val="0"/>
      </c:catAx>
      <c:valAx>
        <c:axId val="328041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N"/>
          </a:p>
        </c:txPr>
        <c:crossAx val="2405893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Error by</a:t>
            </a:r>
            <a:r>
              <a:rPr lang="en-US" baseline="0"/>
              <a:t> epoch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'basic SGD 2 neuron collapse'!$C$41:$C$65</c:f>
              <c:numCache>
                <c:formatCode>General</c:formatCode>
                <c:ptCount val="25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2E8-DF40-A1DA-ACB22C3B3B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517095648"/>
        <c:axId val="-1517097824"/>
      </c:lineChart>
      <c:catAx>
        <c:axId val="-151709564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N"/>
          </a:p>
        </c:txPr>
        <c:crossAx val="-1517097824"/>
        <c:crosses val="autoZero"/>
        <c:auto val="1"/>
        <c:lblAlgn val="ctr"/>
        <c:lblOffset val="100"/>
        <c:noMultiLvlLbl val="0"/>
      </c:catAx>
      <c:valAx>
        <c:axId val="-1517097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N"/>
          </a:p>
        </c:txPr>
        <c:crossAx val="-1517095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150811</xdr:colOff>
      <xdr:row>35</xdr:row>
      <xdr:rowOff>59795</xdr:rowOff>
    </xdr:from>
    <xdr:to>
      <xdr:col>9</xdr:col>
      <xdr:colOff>537103</xdr:colOff>
      <xdr:row>50</xdr:row>
      <xdr:rowOff>24870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E5C9C62-4052-9645-907B-8FBB30D7B9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12700</xdr:rowOff>
        </xdr:from>
        <xdr:to>
          <xdr:col>0</xdr:col>
          <xdr:colOff>508000</xdr:colOff>
          <xdr:row>2</xdr:row>
          <xdr:rowOff>977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1F2EAEF7-0DCA-F147-9F1D-B6E54FCBC8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25400</xdr:rowOff>
        </xdr:from>
        <xdr:to>
          <xdr:col>0</xdr:col>
          <xdr:colOff>508000</xdr:colOff>
          <xdr:row>1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504D5A12-B3E7-F84C-893A-5B7A2F7875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150811</xdr:colOff>
      <xdr:row>35</xdr:row>
      <xdr:rowOff>59795</xdr:rowOff>
    </xdr:from>
    <xdr:to>
      <xdr:col>9</xdr:col>
      <xdr:colOff>537103</xdr:colOff>
      <xdr:row>50</xdr:row>
      <xdr:rowOff>24870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82CA930-D0EA-8A43-A83D-780BA06F46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12700</xdr:rowOff>
        </xdr:from>
        <xdr:to>
          <xdr:col>0</xdr:col>
          <xdr:colOff>508000</xdr:colOff>
          <xdr:row>2</xdr:row>
          <xdr:rowOff>977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9389E41F-5B4C-2D40-8E87-4AFCE62ECD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25400</xdr:rowOff>
        </xdr:from>
        <xdr:to>
          <xdr:col>0</xdr:col>
          <xdr:colOff>508000</xdr:colOff>
          <xdr:row>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70B5531D-A05A-424B-8A5F-FE81BD497BC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xdr:twoCellAnchor>
    <xdr:from>
      <xdr:col>24</xdr:col>
      <xdr:colOff>483578</xdr:colOff>
      <xdr:row>6</xdr:row>
      <xdr:rowOff>29312</xdr:rowOff>
    </xdr:from>
    <xdr:to>
      <xdr:col>31</xdr:col>
      <xdr:colOff>337039</xdr:colOff>
      <xdr:row>20</xdr:row>
      <xdr:rowOff>37128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C6C19B01-A89C-2E95-15E3-3C9AA3EE005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150811</xdr:colOff>
      <xdr:row>38</xdr:row>
      <xdr:rowOff>59795</xdr:rowOff>
    </xdr:from>
    <xdr:to>
      <xdr:col>11</xdr:col>
      <xdr:colOff>537103</xdr:colOff>
      <xdr:row>53</xdr:row>
      <xdr:rowOff>24870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CA593D8-EFFB-7549-96D3-0713845ED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12700</xdr:rowOff>
        </xdr:from>
        <xdr:to>
          <xdr:col>0</xdr:col>
          <xdr:colOff>508000</xdr:colOff>
          <xdr:row>2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939600C4-38C0-9B49-9B58-56BF67E911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25400</xdr:rowOff>
        </xdr:from>
        <xdr:to>
          <xdr:col>0</xdr:col>
          <xdr:colOff>508000</xdr:colOff>
          <xdr:row>1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69475829-9BF1-A84C-8E4C-EAE4A496BE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174625</xdr:colOff>
      <xdr:row>38</xdr:row>
      <xdr:rowOff>31749</xdr:rowOff>
    </xdr:from>
    <xdr:to>
      <xdr:col>18</xdr:col>
      <xdr:colOff>333375</xdr:colOff>
      <xdr:row>68</xdr:row>
      <xdr:rowOff>95250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C37751AE-7303-C243-97DA-F4A236805FFC}"/>
            </a:ext>
          </a:extLst>
        </xdr:cNvPr>
        <xdr:cNvSpPr txBox="1"/>
      </xdr:nvSpPr>
      <xdr:spPr>
        <a:xfrm>
          <a:off x="10566400" y="7397749"/>
          <a:ext cx="4981575" cy="5778501"/>
        </a:xfrm>
        <a:prstGeom prst="rect">
          <a:avLst/>
        </a:prstGeom>
        <a:solidFill>
          <a:schemeClr val="accent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>
              <a:solidFill>
                <a:srgbClr val="FF0000"/>
              </a:solidFill>
            </a:rPr>
            <a:t>In essence,</a:t>
          </a:r>
          <a:r>
            <a:rPr lang="en-US" sz="2000" baseline="0">
              <a:solidFill>
                <a:srgbClr val="FF0000"/>
              </a:solidFill>
            </a:rPr>
            <a:t> what would happen if we use a more complex model to search for a simple function? </a:t>
          </a:r>
          <a:endParaRPr lang="en-US" sz="2000">
            <a:solidFill>
              <a:srgbClr val="FF0000"/>
            </a:solidFill>
          </a:endParaRPr>
        </a:p>
        <a:p>
          <a:endParaRPr lang="en-US" sz="2000"/>
        </a:p>
        <a:p>
          <a:r>
            <a:rPr lang="en-US" sz="2000"/>
            <a:t>To be more specific, Can 2-neuron model (y =</a:t>
          </a:r>
          <a:r>
            <a:rPr lang="en-US" sz="2000" baseline="0"/>
            <a:t> c(ax+b) + d) </a:t>
          </a:r>
          <a:r>
            <a:rPr lang="en-US" sz="2000"/>
            <a:t>without activation learn the target function y = 2x + 30?</a:t>
          </a:r>
        </a:p>
        <a:p>
          <a:endParaRPr lang="en-US" sz="2000"/>
        </a:p>
        <a:p>
          <a:r>
            <a:rPr lang="en-US" sz="2000"/>
            <a:t>1. If you set initial</a:t>
          </a:r>
          <a:r>
            <a:rPr lang="en-US" sz="2000" baseline="0"/>
            <a:t> weights (1,1,1,1) to be far away from the target weights, then the training won't continue because of exploding error values;</a:t>
          </a:r>
        </a:p>
        <a:p>
          <a:endParaRPr lang="en-US" sz="2000" baseline="0">
            <a:solidFill>
              <a:srgbClr val="FF0000"/>
            </a:solidFill>
          </a:endParaRPr>
        </a:p>
        <a:p>
          <a:r>
            <a:rPr lang="en-US" sz="2000"/>
            <a:t>2. If</a:t>
          </a:r>
          <a:r>
            <a:rPr lang="en-US" sz="2000" baseline="0"/>
            <a:t> you set initial weights (1,1,1,10)to be closer to the target weights, then the training seems able to carry on for just 1 run.</a:t>
          </a:r>
        </a:p>
        <a:p>
          <a:endParaRPr lang="en-US" sz="2000" baseline="0"/>
        </a:p>
        <a:p>
          <a:r>
            <a:rPr lang="en-US" sz="2000" baseline="0"/>
            <a:t>3. (1,1,1,20) may run 2 times</a:t>
          </a:r>
        </a:p>
        <a:p>
          <a:endParaRPr lang="en-US" sz="2000" baseline="0"/>
        </a:p>
        <a:p>
          <a:r>
            <a:rPr lang="en-US" sz="2000" baseline="0">
              <a:solidFill>
                <a:srgbClr val="FF0000"/>
              </a:solidFill>
            </a:rPr>
            <a:t>Why it is so difficult to train?  Why it is so easy to have error exploding?</a:t>
          </a:r>
        </a:p>
        <a:p>
          <a:r>
            <a:rPr lang="en-US" sz="2000">
              <a:solidFill>
                <a:srgbClr val="FF0000"/>
              </a:solidFill>
            </a:rPr>
            <a:t>To be more specific, why SGD gives us some good </a:t>
          </a:r>
          <a:r>
            <a:rPr lang="en-US" sz="2000" baseline="0">
              <a:solidFill>
                <a:srgbClr val="FF0000"/>
              </a:solidFill>
            </a:rPr>
            <a:t>error and weights but quicky much worse error and weights? What is going on? Can I visualize it?</a:t>
          </a:r>
          <a:endParaRPr lang="en-US" sz="2000">
            <a:solidFill>
              <a:srgbClr val="FF0000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graddesc-daniel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ro"/>
      <sheetName val="data"/>
      <sheetName val="basic SGD"/>
      <sheetName val="basic SGD est"/>
      <sheetName val="basic SGD 2 neuron collapse"/>
      <sheetName val="resolve collapse by 1 neuron"/>
      <sheetName val="basic SGD 2 neuron ReLU"/>
      <sheetName val="momentum"/>
      <sheetName val="adagrad"/>
      <sheetName val="rmsprop"/>
      <sheetName val="adam"/>
      <sheetName val="eve"/>
      <sheetName val="adagrad_ann"/>
      <sheetName val="adam_ann"/>
    </sheetNames>
    <sheetDataSet>
      <sheetData sheetId="0" refreshError="1"/>
      <sheetData sheetId="1" refreshError="1"/>
      <sheetData sheetId="2">
        <row r="38">
          <cell r="C38">
            <v>150.75521153771854</v>
          </cell>
        </row>
        <row r="39">
          <cell r="C39">
            <v>104.74921026693299</v>
          </cell>
        </row>
        <row r="40">
          <cell r="C40">
            <v>104.55969980561993</v>
          </cell>
        </row>
        <row r="41">
          <cell r="C41">
            <v>104.37053295106034</v>
          </cell>
        </row>
        <row r="42">
          <cell r="C42">
            <v>104.18170833255277</v>
          </cell>
        </row>
      </sheetData>
      <sheetData sheetId="3" refreshError="1"/>
      <sheetData sheetId="4">
        <row r="1">
          <cell r="D1">
            <v>10</v>
          </cell>
        </row>
        <row r="2">
          <cell r="D2">
            <v>1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Liao Daniel" id="{513B9C73-0E24-3840-BFEF-92F604F61D64}" userId="80e3465a04bfd67f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3" dT="2022-07-10T14:13:30.36" personId="{513B9C73-0E24-3840-BFEF-92F604F61D64}" id="{C51CA04D-D768-DB4B-9B99-0DBA41161B8D}">
    <text>Increase intercept by 0.01, to see how error changes</text>
  </threadedComment>
  <threadedComment ref="I3" dT="2022-07-10T14:13:56.72" personId="{513B9C73-0E24-3840-BFEF-92F604F61D64}" id="{6FB39286-B798-2F45-95B5-D4C70B16755C}">
    <text>Increase slop by 0.01 and see how error changes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3" dT="2022-07-10T14:13:30.36" personId="{513B9C73-0E24-3840-BFEF-92F604F61D64}" id="{298C13B5-8BE3-0644-A790-B9C05A7C3D28}">
    <text>Increase intercept by 0.01, to see how error changes</text>
  </threadedComment>
  <threadedComment ref="I3" dT="2022-07-10T14:13:56.72" personId="{513B9C73-0E24-3840-BFEF-92F604F61D64}" id="{0AFC1ACF-1D28-DF4E-BE63-B35334CB3751}">
    <text>Increase slop by 0.01 and see how error changes</text>
  </threadedComment>
  <threadedComment ref="T3" dT="2022-07-10T14:13:56.72" personId="{513B9C73-0E24-3840-BFEF-92F604F61D64}" id="{D5DEDB92-7794-6541-9EB3-CF52657C4408}">
    <text>Increase slop by 0.01 and see how error changes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I6" dT="2022-07-10T14:13:30.36" personId="{513B9C73-0E24-3840-BFEF-92F604F61D64}" id="{0CA83FA6-0941-7C4F-9C34-D082DF93B69F}">
    <text>Increase intercept by 0.01, to see how error changes</text>
  </threadedComment>
  <threadedComment ref="K6" dT="2022-07-10T14:13:56.72" personId="{513B9C73-0E24-3840-BFEF-92F604F61D64}" id="{DE2DB525-339C-0742-8058-89D79152AB57}">
    <text>Increase slop by 0.01 and see how error changes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microsoft.com/office/2017/10/relationships/threadedComment" Target="../threadedComments/threadedComment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microsoft.com/office/2017/10/relationships/threadedComment" Target="../threadedComments/threadedComment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microsoft.com/office/2017/10/relationships/threadedComment" Target="../threadedComments/threadedComment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175DF4-6FA1-6C4D-9DA0-0E6DF1C1AB1C}">
  <sheetPr codeName="basic"/>
  <dimension ref="A1:N42"/>
  <sheetViews>
    <sheetView tabSelected="1" zoomScale="130" zoomScaleNormal="130" workbookViewId="0">
      <pane ySplit="3" topLeftCell="A28" activePane="bottomLeft" state="frozen"/>
      <selection pane="bottomLeft" activeCell="C1" sqref="C1"/>
    </sheetView>
  </sheetViews>
  <sheetFormatPr baseColWidth="10" defaultColWidth="8.83203125" defaultRowHeight="15" x14ac:dyDescent="0.2"/>
  <cols>
    <col min="1" max="1" width="7" customWidth="1"/>
    <col min="2" max="2" width="7.83203125" bestFit="1" customWidth="1"/>
    <col min="3" max="3" width="9.6640625" customWidth="1"/>
    <col min="4" max="4" width="7" customWidth="1"/>
    <col min="5" max="5" width="8.1640625" customWidth="1"/>
    <col min="6" max="6" width="6.83203125" bestFit="1" customWidth="1"/>
    <col min="7" max="7" width="8.6640625" bestFit="1" customWidth="1"/>
    <col min="8" max="8" width="11.1640625" bestFit="1" customWidth="1"/>
    <col min="9" max="9" width="10.83203125" customWidth="1"/>
    <col min="10" max="10" width="9.1640625" bestFit="1" customWidth="1"/>
    <col min="11" max="11" width="6.83203125" bestFit="1" customWidth="1"/>
    <col min="12" max="12" width="9.1640625" bestFit="1" customWidth="1"/>
    <col min="13" max="13" width="11.6640625" customWidth="1"/>
    <col min="14" max="14" width="12.83203125" customWidth="1"/>
  </cols>
  <sheetData>
    <row r="1" spans="1:14" ht="17.5" customHeight="1" x14ac:dyDescent="0.2">
      <c r="B1" t="s">
        <v>0</v>
      </c>
      <c r="C1">
        <v>1.2754625002528799</v>
      </c>
      <c r="E1" t="s">
        <v>1</v>
      </c>
      <c r="F1">
        <v>1E-4</v>
      </c>
      <c r="L1" t="s">
        <v>2</v>
      </c>
    </row>
    <row r="2" spans="1:14" ht="17.5" customHeight="1" x14ac:dyDescent="0.2">
      <c r="B2" t="s">
        <v>3</v>
      </c>
      <c r="C2">
        <v>2.5699964698075251</v>
      </c>
      <c r="H2" t="s">
        <v>4</v>
      </c>
      <c r="K2" t="s">
        <v>5</v>
      </c>
    </row>
    <row r="3" spans="1:14" s="1" customFormat="1" x14ac:dyDescent="0.2">
      <c r="A3" s="1" t="s">
        <v>6</v>
      </c>
      <c r="B3" s="1" t="s">
        <v>7</v>
      </c>
      <c r="C3" s="1" t="s">
        <v>8</v>
      </c>
      <c r="D3" s="1" t="s">
        <v>9</v>
      </c>
      <c r="E3" s="1" t="s">
        <v>10</v>
      </c>
      <c r="F3" s="1" t="s">
        <v>11</v>
      </c>
      <c r="G3" s="1" t="s">
        <v>12</v>
      </c>
      <c r="H3" s="1" t="s">
        <v>13</v>
      </c>
      <c r="I3" s="1" t="s">
        <v>14</v>
      </c>
      <c r="J3" s="1" t="s">
        <v>15</v>
      </c>
      <c r="K3" s="1" t="s">
        <v>16</v>
      </c>
      <c r="L3" s="1" t="s">
        <v>17</v>
      </c>
      <c r="M3" s="1" t="s">
        <v>18</v>
      </c>
      <c r="N3" s="1" t="s">
        <v>19</v>
      </c>
    </row>
    <row r="4" spans="1:14" x14ac:dyDescent="0.2">
      <c r="A4">
        <v>14</v>
      </c>
      <c r="B4">
        <v>58</v>
      </c>
      <c r="C4">
        <f>C1</f>
        <v>1.2754625002528799</v>
      </c>
      <c r="D4">
        <f>C2</f>
        <v>2.5699964698075251</v>
      </c>
      <c r="E4">
        <f>C4+D4*A4</f>
        <v>37.255413077558231</v>
      </c>
      <c r="F4" s="2">
        <f>(B4-E4)^2</f>
        <v>430.33788658274204</v>
      </c>
      <c r="G4" s="3">
        <f>(((C4+0.01)+A4*D4)-B4)^2</f>
        <v>429.92309484429302</v>
      </c>
      <c r="H4" s="3">
        <f>(G4-F4)/0.01</f>
        <v>-41.479173844902562</v>
      </c>
      <c r="I4" s="3">
        <f>(((D4+0.01)*A4+C4)-B4)^2</f>
        <v>424.54900224445862</v>
      </c>
      <c r="J4" s="3">
        <f>(I4-F4)/0.01</f>
        <v>-578.88843382834239</v>
      </c>
      <c r="K4" s="3">
        <f>2*(E4-B4)</f>
        <v>-41.489173844883538</v>
      </c>
      <c r="L4" s="3">
        <f>K4*A4</f>
        <v>-580.84843382836948</v>
      </c>
      <c r="M4" s="3">
        <f>D4-L4*$F$1</f>
        <v>2.628081313190362</v>
      </c>
      <c r="N4" s="3">
        <f>C4-K4*$F$1</f>
        <v>1.2796114176373683</v>
      </c>
    </row>
    <row r="5" spans="1:14" x14ac:dyDescent="0.2">
      <c r="A5">
        <v>86</v>
      </c>
      <c r="B5">
        <v>202</v>
      </c>
      <c r="C5">
        <f>N4</f>
        <v>1.2796114176373683</v>
      </c>
      <c r="D5">
        <f>M4</f>
        <v>2.628081313190362</v>
      </c>
      <c r="E5">
        <f>C5+D5*A5</f>
        <v>227.29460435200849</v>
      </c>
      <c r="F5" s="2">
        <f>(B5-E5)^2</f>
        <v>639.81700932464696</v>
      </c>
      <c r="G5" s="3">
        <f>(((C5+0.01)+A5*D5)-B5)^2</f>
        <v>640.32300141168662</v>
      </c>
      <c r="H5" s="3">
        <f>(G5-F5)/0.01</f>
        <v>50.599208703965814</v>
      </c>
      <c r="I5" s="3">
        <f>(((D5+0.01)*A5+C5)-B5)^2</f>
        <v>684.06332881010076</v>
      </c>
      <c r="J5" s="3">
        <f>(I5-F5)/0.01</f>
        <v>4424.6319485453796</v>
      </c>
      <c r="K5" s="3">
        <f t="shared" ref="K5:K32" si="0">2*(E5-B5)</f>
        <v>50.589208704016983</v>
      </c>
      <c r="L5" s="3">
        <f>K5*A5</f>
        <v>4350.6719485454605</v>
      </c>
      <c r="M5" s="3">
        <f t="shared" ref="M5:M32" si="1">D5-L5*$F$1</f>
        <v>2.1930141183358161</v>
      </c>
      <c r="N5" s="3">
        <f t="shared" ref="N5:N32" si="2">C5-K5*$F$1</f>
        <v>1.2745524967669666</v>
      </c>
    </row>
    <row r="6" spans="1:14" x14ac:dyDescent="0.2">
      <c r="A6">
        <v>28</v>
      </c>
      <c r="B6">
        <v>86</v>
      </c>
      <c r="C6">
        <f>N5</f>
        <v>1.2745524967669666</v>
      </c>
      <c r="D6">
        <f>M5</f>
        <v>2.1930141183358161</v>
      </c>
      <c r="E6">
        <f>C6+D6*A6</f>
        <v>62.678947810169817</v>
      </c>
      <c r="F6" s="2">
        <f>(B6-E6)^2</f>
        <v>543.87147524078318</v>
      </c>
      <c r="G6" s="3">
        <f>(((C6+0.01)+A6*D6)-B6)^2</f>
        <v>543.4051541969867</v>
      </c>
      <c r="H6" s="3">
        <f>(G6-F6)/0.01</f>
        <v>-46.632104379648354</v>
      </c>
      <c r="I6" s="3">
        <f>(((D6+0.01)*A6+C6)-B6)^2</f>
        <v>530.89008601447858</v>
      </c>
      <c r="J6" s="3">
        <f>(I6-F6)/0.01</f>
        <v>-1298.13892263046</v>
      </c>
      <c r="K6" s="3">
        <f t="shared" si="0"/>
        <v>-46.642104379660367</v>
      </c>
      <c r="L6" s="3">
        <f>K6*A6</f>
        <v>-1305.9789226304902</v>
      </c>
      <c r="M6" s="3">
        <f t="shared" si="1"/>
        <v>2.3236120105988651</v>
      </c>
      <c r="N6" s="3">
        <f t="shared" si="2"/>
        <v>1.2792167072049325</v>
      </c>
    </row>
    <row r="7" spans="1:14" x14ac:dyDescent="0.2">
      <c r="A7">
        <v>51</v>
      </c>
      <c r="B7">
        <v>132</v>
      </c>
      <c r="C7">
        <f t="shared" ref="C7:C32" si="3">N6</f>
        <v>1.2792167072049325</v>
      </c>
      <c r="D7">
        <f t="shared" ref="D7:D32" si="4">M6</f>
        <v>2.3236120105988651</v>
      </c>
      <c r="E7">
        <f t="shared" ref="E7:E32" si="5">C7+D7*A7</f>
        <v>119.78342924774707</v>
      </c>
      <c r="F7" s="2">
        <f t="shared" ref="F7:F32" si="6">(B7-E7)^2</f>
        <v>149.24460094480182</v>
      </c>
      <c r="G7" s="3">
        <f t="shared" ref="G7:G32" si="7">(((C7+0.01)+A7*D7)-B7)^2</f>
        <v>149.00036952975699</v>
      </c>
      <c r="H7" s="3">
        <f t="shared" ref="H7:H32" si="8">(G7-F7)/0.01</f>
        <v>-24.42314150448226</v>
      </c>
      <c r="I7" s="3">
        <f t="shared" ref="I7:I32" si="9">(((D7+0.01)*A7+C7)-B7)^2</f>
        <v>137.04379877750438</v>
      </c>
      <c r="J7" s="3">
        <f t="shared" ref="J7:J32" si="10">(I7-F7)/0.01</f>
        <v>-1220.0802167297438</v>
      </c>
      <c r="K7" s="3">
        <f t="shared" si="0"/>
        <v>-24.433141504505869</v>
      </c>
      <c r="L7" s="3">
        <f t="shared" ref="L7:L32" si="11">K7*A7</f>
        <v>-1246.0902167297993</v>
      </c>
      <c r="M7" s="3">
        <f t="shared" si="1"/>
        <v>2.448221032271845</v>
      </c>
      <c r="N7" s="3">
        <f t="shared" si="2"/>
        <v>1.281660021355383</v>
      </c>
    </row>
    <row r="8" spans="1:14" x14ac:dyDescent="0.2">
      <c r="A8">
        <v>28</v>
      </c>
      <c r="B8">
        <v>86</v>
      </c>
      <c r="C8">
        <f t="shared" si="3"/>
        <v>1.281660021355383</v>
      </c>
      <c r="D8">
        <f t="shared" si="4"/>
        <v>2.448221032271845</v>
      </c>
      <c r="E8">
        <f t="shared" si="5"/>
        <v>69.831848924967034</v>
      </c>
      <c r="F8" s="2">
        <f t="shared" si="6"/>
        <v>261.40910918508968</v>
      </c>
      <c r="G8" s="3">
        <f t="shared" si="7"/>
        <v>261.08584616358883</v>
      </c>
      <c r="H8" s="3">
        <f t="shared" si="8"/>
        <v>-32.326302150084985</v>
      </c>
      <c r="I8" s="3">
        <f t="shared" si="9"/>
        <v>252.43334458307118</v>
      </c>
      <c r="J8" s="3">
        <f t="shared" si="10"/>
        <v>-897.57646020185007</v>
      </c>
      <c r="K8" s="3">
        <f t="shared" si="0"/>
        <v>-32.336302150065933</v>
      </c>
      <c r="L8" s="3">
        <f t="shared" si="11"/>
        <v>-905.41646020184612</v>
      </c>
      <c r="M8" s="3">
        <f t="shared" si="1"/>
        <v>2.5387626782920294</v>
      </c>
      <c r="N8" s="3">
        <f t="shared" si="2"/>
        <v>1.2848936515703897</v>
      </c>
    </row>
    <row r="9" spans="1:14" x14ac:dyDescent="0.2">
      <c r="A9">
        <v>29</v>
      </c>
      <c r="B9">
        <v>88</v>
      </c>
      <c r="C9">
        <f t="shared" si="3"/>
        <v>1.2848936515703897</v>
      </c>
      <c r="D9">
        <f t="shared" si="4"/>
        <v>2.5387626782920294</v>
      </c>
      <c r="E9">
        <f t="shared" si="5"/>
        <v>74.909011322039234</v>
      </c>
      <c r="F9" s="2">
        <f t="shared" si="6"/>
        <v>171.37398456649697</v>
      </c>
      <c r="G9" s="3">
        <f t="shared" si="7"/>
        <v>171.11226479293762</v>
      </c>
      <c r="H9" s="3">
        <f t="shared" si="8"/>
        <v>-26.171977355934928</v>
      </c>
      <c r="I9" s="3">
        <f t="shared" si="9"/>
        <v>163.86531113327993</v>
      </c>
      <c r="J9" s="3">
        <f t="shared" si="10"/>
        <v>-750.86734332170408</v>
      </c>
      <c r="K9" s="3">
        <f t="shared" si="0"/>
        <v>-26.181977355921532</v>
      </c>
      <c r="L9" s="3">
        <f t="shared" si="11"/>
        <v>-759.2773433217244</v>
      </c>
      <c r="M9" s="3">
        <f t="shared" si="1"/>
        <v>2.6146904126242019</v>
      </c>
      <c r="N9" s="3">
        <f t="shared" si="2"/>
        <v>1.2875118493059818</v>
      </c>
    </row>
    <row r="10" spans="1:14" x14ac:dyDescent="0.2">
      <c r="A10">
        <v>72</v>
      </c>
      <c r="B10">
        <v>174</v>
      </c>
      <c r="C10">
        <f t="shared" si="3"/>
        <v>1.2875118493059818</v>
      </c>
      <c r="D10">
        <f t="shared" si="4"/>
        <v>2.6146904126242019</v>
      </c>
      <c r="E10">
        <f t="shared" si="5"/>
        <v>189.54522155824853</v>
      </c>
      <c r="F10" s="2">
        <f t="shared" si="6"/>
        <v>241.65391329503478</v>
      </c>
      <c r="G10" s="3">
        <f t="shared" si="7"/>
        <v>241.96491772619947</v>
      </c>
      <c r="H10" s="3">
        <f t="shared" si="8"/>
        <v>31.100443116469023</v>
      </c>
      <c r="I10" s="3">
        <f t="shared" si="9"/>
        <v>264.55743233891172</v>
      </c>
      <c r="J10" s="3">
        <f t="shared" si="10"/>
        <v>2290.351904387694</v>
      </c>
      <c r="K10" s="3">
        <f t="shared" si="0"/>
        <v>31.090443116497056</v>
      </c>
      <c r="L10" s="3">
        <f t="shared" si="11"/>
        <v>2238.511904387788</v>
      </c>
      <c r="M10" s="3">
        <f t="shared" si="1"/>
        <v>2.3908392221854231</v>
      </c>
      <c r="N10" s="3">
        <f t="shared" si="2"/>
        <v>1.2844028049943321</v>
      </c>
    </row>
    <row r="11" spans="1:14" x14ac:dyDescent="0.2">
      <c r="A11">
        <v>62</v>
      </c>
      <c r="B11">
        <v>154</v>
      </c>
      <c r="C11">
        <f t="shared" si="3"/>
        <v>1.2844028049943321</v>
      </c>
      <c r="D11">
        <f t="shared" si="4"/>
        <v>2.3908392221854231</v>
      </c>
      <c r="E11">
        <f t="shared" si="5"/>
        <v>149.51643458049057</v>
      </c>
      <c r="F11" s="2">
        <f t="shared" si="6"/>
        <v>20.10235887102079</v>
      </c>
      <c r="G11" s="3">
        <f t="shared" si="7"/>
        <v>20.012787562630681</v>
      </c>
      <c r="H11" s="3">
        <f t="shared" si="8"/>
        <v>-8.9571308390109294</v>
      </c>
      <c r="I11" s="3">
        <f t="shared" si="9"/>
        <v>14.927137750829278</v>
      </c>
      <c r="J11" s="3">
        <f t="shared" si="10"/>
        <v>-517.52211201915122</v>
      </c>
      <c r="K11" s="3">
        <f t="shared" si="0"/>
        <v>-8.9671308390188642</v>
      </c>
      <c r="L11" s="3">
        <f t="shared" si="11"/>
        <v>-555.96211201916958</v>
      </c>
      <c r="M11" s="3">
        <f t="shared" si="1"/>
        <v>2.4464354333873399</v>
      </c>
      <c r="N11" s="3">
        <f t="shared" si="2"/>
        <v>1.2852995180782341</v>
      </c>
    </row>
    <row r="12" spans="1:14" x14ac:dyDescent="0.2">
      <c r="A12">
        <v>84</v>
      </c>
      <c r="B12">
        <v>198</v>
      </c>
      <c r="C12">
        <f t="shared" si="3"/>
        <v>1.2852995180782341</v>
      </c>
      <c r="D12">
        <f t="shared" si="4"/>
        <v>2.4464354333873399</v>
      </c>
      <c r="E12">
        <f t="shared" si="5"/>
        <v>206.78587592261479</v>
      </c>
      <c r="F12" s="2">
        <f t="shared" si="6"/>
        <v>77.191615727582331</v>
      </c>
      <c r="G12" s="3">
        <f t="shared" si="7"/>
        <v>77.367433246034466</v>
      </c>
      <c r="H12" s="3">
        <f t="shared" si="8"/>
        <v>17.581751845213489</v>
      </c>
      <c r="I12" s="3">
        <f t="shared" si="9"/>
        <v>92.657487277574702</v>
      </c>
      <c r="J12" s="3">
        <f t="shared" si="10"/>
        <v>1546.5871549992371</v>
      </c>
      <c r="K12" s="3">
        <f t="shared" si="0"/>
        <v>17.571751845229585</v>
      </c>
      <c r="L12" s="3">
        <f t="shared" si="11"/>
        <v>1476.0271549992851</v>
      </c>
      <c r="M12" s="3">
        <f t="shared" si="1"/>
        <v>2.2988327178874113</v>
      </c>
      <c r="N12" s="3">
        <f t="shared" si="2"/>
        <v>1.2835423428937112</v>
      </c>
    </row>
    <row r="13" spans="1:14" x14ac:dyDescent="0.2">
      <c r="A13">
        <v>15</v>
      </c>
      <c r="B13">
        <v>60</v>
      </c>
      <c r="C13">
        <f t="shared" si="3"/>
        <v>1.2835423428937112</v>
      </c>
      <c r="D13">
        <f t="shared" si="4"/>
        <v>2.2988327178874113</v>
      </c>
      <c r="E13">
        <f t="shared" si="5"/>
        <v>35.766033111204877</v>
      </c>
      <c r="F13" s="2">
        <f t="shared" si="6"/>
        <v>587.28515116721837</v>
      </c>
      <c r="G13" s="3">
        <f t="shared" si="7"/>
        <v>586.80057182944256</v>
      </c>
      <c r="H13" s="3">
        <f t="shared" si="8"/>
        <v>-48.457933777581275</v>
      </c>
      <c r="I13" s="3">
        <f t="shared" si="9"/>
        <v>580.03746110057989</v>
      </c>
      <c r="J13" s="3">
        <f t="shared" si="10"/>
        <v>-724.76900666384836</v>
      </c>
      <c r="K13" s="3">
        <f t="shared" si="0"/>
        <v>-48.467933777590247</v>
      </c>
      <c r="L13" s="3">
        <f t="shared" si="11"/>
        <v>-727.0190066638537</v>
      </c>
      <c r="M13" s="3">
        <f t="shared" si="1"/>
        <v>2.3715346185537967</v>
      </c>
      <c r="N13" s="3">
        <f t="shared" si="2"/>
        <v>1.2883891362714701</v>
      </c>
    </row>
    <row r="14" spans="1:14" x14ac:dyDescent="0.2">
      <c r="A14">
        <v>42</v>
      </c>
      <c r="B14">
        <v>114</v>
      </c>
      <c r="C14">
        <f t="shared" si="3"/>
        <v>1.2883891362714701</v>
      </c>
      <c r="D14">
        <f t="shared" si="4"/>
        <v>2.3715346185537967</v>
      </c>
      <c r="E14">
        <f t="shared" si="5"/>
        <v>100.89284311553094</v>
      </c>
      <c r="F14" s="2">
        <f t="shared" si="6"/>
        <v>171.79756159408475</v>
      </c>
      <c r="G14" s="3">
        <f t="shared" si="7"/>
        <v>171.53551845639561</v>
      </c>
      <c r="H14" s="3">
        <f t="shared" si="8"/>
        <v>-26.204313768914744</v>
      </c>
      <c r="I14" s="3">
        <f t="shared" si="9"/>
        <v>160.96394981113107</v>
      </c>
      <c r="J14" s="3">
        <f t="shared" si="10"/>
        <v>-1083.3611782953681</v>
      </c>
      <c r="K14" s="3">
        <f t="shared" si="0"/>
        <v>-26.214313768938126</v>
      </c>
      <c r="L14" s="3">
        <f t="shared" si="11"/>
        <v>-1101.0011782954014</v>
      </c>
      <c r="M14" s="3">
        <f t="shared" si="1"/>
        <v>2.4816347363833366</v>
      </c>
      <c r="N14" s="3">
        <f t="shared" si="2"/>
        <v>1.2910105676483639</v>
      </c>
    </row>
    <row r="15" spans="1:14" x14ac:dyDescent="0.2">
      <c r="A15">
        <v>62</v>
      </c>
      <c r="B15">
        <v>154</v>
      </c>
      <c r="C15">
        <f t="shared" si="3"/>
        <v>1.2910105676483639</v>
      </c>
      <c r="D15">
        <f t="shared" si="4"/>
        <v>2.4816347363833366</v>
      </c>
      <c r="E15">
        <f t="shared" si="5"/>
        <v>155.15236422341522</v>
      </c>
      <c r="F15" s="2">
        <f t="shared" si="6"/>
        <v>1.3279433034073611</v>
      </c>
      <c r="G15" s="3">
        <f t="shared" si="7"/>
        <v>1.3510905878757105</v>
      </c>
      <c r="H15" s="3">
        <f t="shared" si="8"/>
        <v>2.3147284468349349</v>
      </c>
      <c r="I15" s="3">
        <f t="shared" si="9"/>
        <v>3.1412749404422491</v>
      </c>
      <c r="J15" s="3">
        <f t="shared" si="10"/>
        <v>181.33316370348879</v>
      </c>
      <c r="K15" s="3">
        <f t="shared" si="0"/>
        <v>2.3047284468304383</v>
      </c>
      <c r="L15" s="3">
        <f t="shared" si="11"/>
        <v>142.89316370348718</v>
      </c>
      <c r="M15" s="3">
        <f t="shared" si="1"/>
        <v>2.4673454200129878</v>
      </c>
      <c r="N15" s="3">
        <f t="shared" si="2"/>
        <v>1.2907800948036807</v>
      </c>
    </row>
    <row r="16" spans="1:14" x14ac:dyDescent="0.2">
      <c r="A16">
        <v>47</v>
      </c>
      <c r="B16">
        <v>124</v>
      </c>
      <c r="C16">
        <f t="shared" si="3"/>
        <v>1.2907800948036807</v>
      </c>
      <c r="D16">
        <f t="shared" si="4"/>
        <v>2.4673454200129878</v>
      </c>
      <c r="E16">
        <f t="shared" si="5"/>
        <v>117.25601483541411</v>
      </c>
      <c r="F16" s="2">
        <f t="shared" si="6"/>
        <v>45.481335900154626</v>
      </c>
      <c r="G16" s="3">
        <f t="shared" si="7"/>
        <v>45.346556196862835</v>
      </c>
      <c r="H16" s="3">
        <f t="shared" si="8"/>
        <v>-13.477970329179101</v>
      </c>
      <c r="I16" s="3">
        <f t="shared" si="9"/>
        <v>39.362889845444073</v>
      </c>
      <c r="J16" s="3">
        <f t="shared" si="10"/>
        <v>-611.84460547105527</v>
      </c>
      <c r="K16" s="3">
        <f t="shared" si="0"/>
        <v>-13.487970329171787</v>
      </c>
      <c r="L16" s="3">
        <f t="shared" si="11"/>
        <v>-633.93460547107406</v>
      </c>
      <c r="M16" s="3">
        <f t="shared" si="1"/>
        <v>2.5307388805600954</v>
      </c>
      <c r="N16" s="3">
        <f t="shared" si="2"/>
        <v>1.2921288918365978</v>
      </c>
    </row>
    <row r="17" spans="1:14" x14ac:dyDescent="0.2">
      <c r="A17">
        <v>35</v>
      </c>
      <c r="B17">
        <v>100</v>
      </c>
      <c r="C17">
        <f t="shared" si="3"/>
        <v>1.2921288918365978</v>
      </c>
      <c r="D17">
        <f t="shared" si="4"/>
        <v>2.5307388805600954</v>
      </c>
      <c r="E17">
        <f t="shared" si="5"/>
        <v>89.867989711439932</v>
      </c>
      <c r="F17" s="2">
        <f t="shared" si="6"/>
        <v>102.65763248748706</v>
      </c>
      <c r="G17" s="3">
        <f t="shared" si="7"/>
        <v>102.45509228171576</v>
      </c>
      <c r="H17" s="3">
        <f t="shared" si="8"/>
        <v>-20.25402057712995</v>
      </c>
      <c r="I17" s="3">
        <f t="shared" si="9"/>
        <v>95.687725285495134</v>
      </c>
      <c r="J17" s="3">
        <f t="shared" si="10"/>
        <v>-696.99072019919299</v>
      </c>
      <c r="K17" s="3">
        <f t="shared" si="0"/>
        <v>-20.264020577120135</v>
      </c>
      <c r="L17" s="3">
        <f t="shared" si="11"/>
        <v>-709.2407201992047</v>
      </c>
      <c r="M17" s="3">
        <f t="shared" si="1"/>
        <v>2.6016629525800159</v>
      </c>
      <c r="N17" s="3">
        <f t="shared" si="2"/>
        <v>1.2941552938943099</v>
      </c>
    </row>
    <row r="18" spans="1:14" x14ac:dyDescent="0.2">
      <c r="A18">
        <v>9</v>
      </c>
      <c r="B18">
        <v>48</v>
      </c>
      <c r="C18">
        <f t="shared" si="3"/>
        <v>1.2941552938943099</v>
      </c>
      <c r="D18">
        <f t="shared" si="4"/>
        <v>2.6016629525800159</v>
      </c>
      <c r="E18">
        <f t="shared" si="5"/>
        <v>24.709121867114451</v>
      </c>
      <c r="F18" s="2">
        <f t="shared" si="6"/>
        <v>542.46500420092627</v>
      </c>
      <c r="G18" s="3">
        <f t="shared" si="7"/>
        <v>541.99928663826847</v>
      </c>
      <c r="H18" s="3">
        <f t="shared" si="8"/>
        <v>-46.571756265780095</v>
      </c>
      <c r="I18" s="3">
        <f t="shared" si="9"/>
        <v>538.28074613700687</v>
      </c>
      <c r="J18" s="3">
        <f t="shared" si="10"/>
        <v>-418.42580639194011</v>
      </c>
      <c r="K18" s="3">
        <f t="shared" si="0"/>
        <v>-46.581756265771098</v>
      </c>
      <c r="L18" s="3">
        <f t="shared" si="11"/>
        <v>-419.23580639193989</v>
      </c>
      <c r="M18" s="3">
        <f t="shared" si="1"/>
        <v>2.6435865332192101</v>
      </c>
      <c r="N18" s="3">
        <f t="shared" si="2"/>
        <v>1.2988134695208871</v>
      </c>
    </row>
    <row r="19" spans="1:14" x14ac:dyDescent="0.2">
      <c r="A19">
        <v>38</v>
      </c>
      <c r="B19">
        <v>106</v>
      </c>
      <c r="C19">
        <f t="shared" si="3"/>
        <v>1.2988134695208871</v>
      </c>
      <c r="D19">
        <f t="shared" si="4"/>
        <v>2.6435865332192101</v>
      </c>
      <c r="E19">
        <f t="shared" si="5"/>
        <v>101.75510173185089</v>
      </c>
      <c r="F19" s="2">
        <f t="shared" si="6"/>
        <v>18.019161306935352</v>
      </c>
      <c r="G19" s="3">
        <f t="shared" si="7"/>
        <v>17.934363341572446</v>
      </c>
      <c r="H19" s="3">
        <f t="shared" si="8"/>
        <v>-8.4797965362906069</v>
      </c>
      <c r="I19" s="3">
        <f t="shared" si="9"/>
        <v>14.937438623142279</v>
      </c>
      <c r="J19" s="3">
        <f t="shared" si="10"/>
        <v>-308.1722683793073</v>
      </c>
      <c r="K19" s="3">
        <f t="shared" si="0"/>
        <v>-8.4897965362982291</v>
      </c>
      <c r="L19" s="3">
        <f t="shared" si="11"/>
        <v>-322.6122683793327</v>
      </c>
      <c r="M19" s="3">
        <f t="shared" si="1"/>
        <v>2.6758477600571435</v>
      </c>
      <c r="N19" s="3">
        <f t="shared" si="2"/>
        <v>1.2996624491745168</v>
      </c>
    </row>
    <row r="20" spans="1:14" x14ac:dyDescent="0.2">
      <c r="A20">
        <v>44</v>
      </c>
      <c r="B20">
        <v>118</v>
      </c>
      <c r="C20">
        <f t="shared" si="3"/>
        <v>1.2996624491745168</v>
      </c>
      <c r="D20">
        <f t="shared" si="4"/>
        <v>2.6758477600571435</v>
      </c>
      <c r="E20">
        <f t="shared" si="5"/>
        <v>119.03696389168883</v>
      </c>
      <c r="F20" s="2">
        <f t="shared" si="6"/>
        <v>1.0752941126664388</v>
      </c>
      <c r="G20" s="3">
        <f t="shared" si="7"/>
        <v>1.0961333905001964</v>
      </c>
      <c r="H20" s="3">
        <f t="shared" si="8"/>
        <v>2.0839277833757608</v>
      </c>
      <c r="I20" s="3">
        <f t="shared" si="9"/>
        <v>2.1814223373526005</v>
      </c>
      <c r="J20" s="3">
        <f t="shared" si="10"/>
        <v>110.61282246861616</v>
      </c>
      <c r="K20" s="3">
        <f t="shared" si="0"/>
        <v>2.0739277833776555</v>
      </c>
      <c r="L20" s="3">
        <f t="shared" si="11"/>
        <v>91.252822468616841</v>
      </c>
      <c r="M20" s="3">
        <f t="shared" si="1"/>
        <v>2.666722477810282</v>
      </c>
      <c r="N20" s="3">
        <f t="shared" si="2"/>
        <v>1.2994550563961791</v>
      </c>
    </row>
    <row r="21" spans="1:14" x14ac:dyDescent="0.2">
      <c r="A21">
        <v>99</v>
      </c>
      <c r="B21">
        <v>228</v>
      </c>
      <c r="C21">
        <f t="shared" si="3"/>
        <v>1.2994550563961791</v>
      </c>
      <c r="D21">
        <f t="shared" si="4"/>
        <v>2.666722477810282</v>
      </c>
      <c r="E21">
        <f t="shared" si="5"/>
        <v>265.30498035961415</v>
      </c>
      <c r="F21" s="2">
        <f t="shared" si="6"/>
        <v>1391.6615596311974</v>
      </c>
      <c r="G21" s="3">
        <f t="shared" si="7"/>
        <v>1392.407759238389</v>
      </c>
      <c r="H21" s="3">
        <f t="shared" si="8"/>
        <v>74.619960719155642</v>
      </c>
      <c r="I21" s="3">
        <f t="shared" si="9"/>
        <v>1466.5055207432297</v>
      </c>
      <c r="J21" s="3">
        <f t="shared" si="10"/>
        <v>7484.3961112032275</v>
      </c>
      <c r="K21" s="3">
        <f t="shared" si="0"/>
        <v>74.609960719228297</v>
      </c>
      <c r="L21" s="3">
        <f t="shared" si="11"/>
        <v>7386.3861112036011</v>
      </c>
      <c r="M21" s="3">
        <f t="shared" si="1"/>
        <v>1.928083866689922</v>
      </c>
      <c r="N21" s="3">
        <f t="shared" si="2"/>
        <v>1.2919940603242563</v>
      </c>
    </row>
    <row r="22" spans="1:14" x14ac:dyDescent="0.2">
      <c r="A22">
        <v>13</v>
      </c>
      <c r="B22">
        <v>56</v>
      </c>
      <c r="C22">
        <f t="shared" si="3"/>
        <v>1.2919940603242563</v>
      </c>
      <c r="D22">
        <f t="shared" si="4"/>
        <v>1.928083866689922</v>
      </c>
      <c r="E22">
        <f t="shared" si="5"/>
        <v>26.357084327293244</v>
      </c>
      <c r="F22" s="2">
        <f t="shared" si="6"/>
        <v>878.70244957920386</v>
      </c>
      <c r="G22" s="3">
        <f t="shared" si="7"/>
        <v>878.1096912657498</v>
      </c>
      <c r="H22" s="3">
        <f t="shared" si="8"/>
        <v>-59.27583134540555</v>
      </c>
      <c r="I22" s="3">
        <f t="shared" si="9"/>
        <v>871.01219150430018</v>
      </c>
      <c r="J22" s="3">
        <f t="shared" si="10"/>
        <v>-769.02580749036815</v>
      </c>
      <c r="K22" s="3">
        <f t="shared" si="0"/>
        <v>-59.285831345413513</v>
      </c>
      <c r="L22" s="3">
        <f t="shared" si="11"/>
        <v>-770.71580749037571</v>
      </c>
      <c r="M22" s="3">
        <f t="shared" si="1"/>
        <v>2.0051554474389595</v>
      </c>
      <c r="N22" s="3">
        <f t="shared" si="2"/>
        <v>1.2979226434587976</v>
      </c>
    </row>
    <row r="23" spans="1:14" x14ac:dyDescent="0.2">
      <c r="A23">
        <v>21</v>
      </c>
      <c r="B23">
        <v>72</v>
      </c>
      <c r="C23">
        <f t="shared" si="3"/>
        <v>1.2979226434587976</v>
      </c>
      <c r="D23">
        <f t="shared" si="4"/>
        <v>2.0051554474389595</v>
      </c>
      <c r="E23">
        <f t="shared" si="5"/>
        <v>43.406187039676944</v>
      </c>
      <c r="F23" s="2">
        <f t="shared" si="6"/>
        <v>817.60613960993874</v>
      </c>
      <c r="G23" s="3">
        <f t="shared" si="7"/>
        <v>817.03436335073241</v>
      </c>
      <c r="H23" s="3">
        <f t="shared" si="8"/>
        <v>-57.177625920633091</v>
      </c>
      <c r="I23" s="3">
        <f t="shared" si="9"/>
        <v>805.64083816660309</v>
      </c>
      <c r="J23" s="3">
        <f t="shared" si="10"/>
        <v>-1196.5301443335647</v>
      </c>
      <c r="K23" s="3">
        <f t="shared" si="0"/>
        <v>-57.187625920646113</v>
      </c>
      <c r="L23" s="3">
        <f t="shared" si="11"/>
        <v>-1200.9401443335685</v>
      </c>
      <c r="M23" s="3">
        <f t="shared" si="1"/>
        <v>2.1252494618723161</v>
      </c>
      <c r="N23" s="3">
        <f t="shared" si="2"/>
        <v>1.3036414060508623</v>
      </c>
    </row>
    <row r="24" spans="1:14" x14ac:dyDescent="0.2">
      <c r="A24">
        <v>28</v>
      </c>
      <c r="B24">
        <v>86</v>
      </c>
      <c r="C24">
        <f t="shared" si="3"/>
        <v>1.3036414060508623</v>
      </c>
      <c r="D24">
        <f t="shared" si="4"/>
        <v>2.1252494618723161</v>
      </c>
      <c r="E24">
        <f t="shared" si="5"/>
        <v>60.810626338475714</v>
      </c>
      <c r="F24" s="2">
        <f t="shared" si="6"/>
        <v>634.50454545989339</v>
      </c>
      <c r="G24" s="3">
        <f t="shared" si="7"/>
        <v>634.00085798666305</v>
      </c>
      <c r="H24" s="3">
        <f t="shared" si="8"/>
        <v>-50.368747323034313</v>
      </c>
      <c r="I24" s="3">
        <f t="shared" si="9"/>
        <v>620.47689620944016</v>
      </c>
      <c r="J24" s="3">
        <f t="shared" si="10"/>
        <v>-1402.7649250453237</v>
      </c>
      <c r="K24" s="3">
        <f t="shared" si="0"/>
        <v>-50.378747323048572</v>
      </c>
      <c r="L24" s="3">
        <f t="shared" si="11"/>
        <v>-1410.60492504536</v>
      </c>
      <c r="M24" s="3">
        <f t="shared" si="1"/>
        <v>2.2663099543768519</v>
      </c>
      <c r="N24" s="3">
        <f t="shared" si="2"/>
        <v>1.3086792807831671</v>
      </c>
    </row>
    <row r="25" spans="1:14" x14ac:dyDescent="0.2">
      <c r="A25">
        <v>20</v>
      </c>
      <c r="B25">
        <v>70</v>
      </c>
      <c r="C25">
        <f t="shared" si="3"/>
        <v>1.3086792807831671</v>
      </c>
      <c r="D25">
        <f t="shared" si="4"/>
        <v>2.2663099543768519</v>
      </c>
      <c r="E25">
        <f t="shared" si="5"/>
        <v>46.634878368320202</v>
      </c>
      <c r="F25" s="2">
        <f t="shared" si="6"/>
        <v>545.92890886319128</v>
      </c>
      <c r="G25" s="3">
        <f t="shared" si="7"/>
        <v>545.4617064305578</v>
      </c>
      <c r="H25" s="3">
        <f t="shared" si="8"/>
        <v>-46.720243263348493</v>
      </c>
      <c r="I25" s="3">
        <f t="shared" si="9"/>
        <v>536.62286021051921</v>
      </c>
      <c r="J25" s="3">
        <f t="shared" si="10"/>
        <v>-930.60486526720751</v>
      </c>
      <c r="K25" s="3">
        <f t="shared" si="0"/>
        <v>-46.730243263359597</v>
      </c>
      <c r="L25" s="3">
        <f t="shared" si="11"/>
        <v>-934.60486526719194</v>
      </c>
      <c r="M25" s="3">
        <f t="shared" si="1"/>
        <v>2.3597704409035711</v>
      </c>
      <c r="N25" s="3">
        <f t="shared" si="2"/>
        <v>1.3133523051095031</v>
      </c>
    </row>
    <row r="26" spans="1:14" x14ac:dyDescent="0.2">
      <c r="A26">
        <v>8</v>
      </c>
      <c r="B26">
        <v>46</v>
      </c>
      <c r="C26">
        <f t="shared" si="3"/>
        <v>1.3133523051095031</v>
      </c>
      <c r="D26">
        <f t="shared" si="4"/>
        <v>2.3597704409035711</v>
      </c>
      <c r="E26">
        <f t="shared" si="5"/>
        <v>20.191515832338073</v>
      </c>
      <c r="F26" s="2">
        <f t="shared" si="6"/>
        <v>666.07785503245634</v>
      </c>
      <c r="G26" s="3">
        <f t="shared" si="7"/>
        <v>665.56178534910316</v>
      </c>
      <c r="H26" s="3">
        <f t="shared" si="8"/>
        <v>-51.606968335318015</v>
      </c>
      <c r="I26" s="3">
        <f t="shared" si="9"/>
        <v>661.95489756563052</v>
      </c>
      <c r="J26" s="3">
        <f t="shared" si="10"/>
        <v>-412.29574668258238</v>
      </c>
      <c r="K26" s="3">
        <f t="shared" si="0"/>
        <v>-51.616968335323854</v>
      </c>
      <c r="L26" s="3">
        <f t="shared" si="11"/>
        <v>-412.93574668259083</v>
      </c>
      <c r="M26" s="3">
        <f t="shared" si="1"/>
        <v>2.4010640155718304</v>
      </c>
      <c r="N26" s="3">
        <f t="shared" si="2"/>
        <v>1.3185140019430355</v>
      </c>
    </row>
    <row r="27" spans="1:14" x14ac:dyDescent="0.2">
      <c r="A27">
        <v>64</v>
      </c>
      <c r="B27">
        <v>158</v>
      </c>
      <c r="C27">
        <f t="shared" si="3"/>
        <v>1.3185140019430355</v>
      </c>
      <c r="D27">
        <f t="shared" si="4"/>
        <v>2.4010640155718304</v>
      </c>
      <c r="E27">
        <f t="shared" si="5"/>
        <v>154.98661099854019</v>
      </c>
      <c r="F27" s="2">
        <f t="shared" si="6"/>
        <v>9.0805132741189727</v>
      </c>
      <c r="G27" s="3">
        <f t="shared" si="7"/>
        <v>9.0203454940898311</v>
      </c>
      <c r="H27" s="3">
        <f t="shared" si="8"/>
        <v>-6.0167780029141582</v>
      </c>
      <c r="I27" s="3">
        <f t="shared" si="9"/>
        <v>5.632975352250476</v>
      </c>
      <c r="J27" s="3">
        <f t="shared" si="10"/>
        <v>-344.75379218684964</v>
      </c>
      <c r="K27" s="3">
        <f t="shared" si="0"/>
        <v>-6.0267780029196274</v>
      </c>
      <c r="L27" s="3">
        <f t="shared" si="11"/>
        <v>-385.71379218685615</v>
      </c>
      <c r="M27" s="3">
        <f t="shared" si="1"/>
        <v>2.4396353947905158</v>
      </c>
      <c r="N27" s="3">
        <f t="shared" si="2"/>
        <v>1.3191166797433274</v>
      </c>
    </row>
    <row r="28" spans="1:14" x14ac:dyDescent="0.2">
      <c r="A28">
        <v>99</v>
      </c>
      <c r="B28">
        <v>228</v>
      </c>
      <c r="C28">
        <f t="shared" si="3"/>
        <v>1.3191166797433274</v>
      </c>
      <c r="D28">
        <f t="shared" si="4"/>
        <v>2.4396353947905158</v>
      </c>
      <c r="E28">
        <f t="shared" si="5"/>
        <v>242.84302076400439</v>
      </c>
      <c r="F28" s="2">
        <f t="shared" si="6"/>
        <v>220.31526540066557</v>
      </c>
      <c r="G28" s="3">
        <f t="shared" si="7"/>
        <v>220.61222581594538</v>
      </c>
      <c r="H28" s="3">
        <f t="shared" si="8"/>
        <v>29.696041527981265</v>
      </c>
      <c r="I28" s="3">
        <f t="shared" si="9"/>
        <v>250.68454651339366</v>
      </c>
      <c r="J28" s="3">
        <f t="shared" si="10"/>
        <v>3036.928111272809</v>
      </c>
      <c r="K28" s="3">
        <f t="shared" si="0"/>
        <v>29.686041528008786</v>
      </c>
      <c r="L28" s="3">
        <f t="shared" si="11"/>
        <v>2938.9181112728697</v>
      </c>
      <c r="M28" s="3">
        <f t="shared" si="1"/>
        <v>2.1457435836632288</v>
      </c>
      <c r="N28" s="3">
        <f t="shared" si="2"/>
        <v>1.3161480755905264</v>
      </c>
    </row>
    <row r="29" spans="1:14" x14ac:dyDescent="0.2">
      <c r="A29">
        <v>70</v>
      </c>
      <c r="B29">
        <v>170</v>
      </c>
      <c r="C29">
        <f t="shared" si="3"/>
        <v>1.3161480755905264</v>
      </c>
      <c r="D29">
        <f t="shared" si="4"/>
        <v>2.1457435836632288</v>
      </c>
      <c r="E29">
        <f t="shared" si="5"/>
        <v>151.51819893201653</v>
      </c>
      <c r="F29" s="2">
        <f t="shared" si="6"/>
        <v>341.57697071651489</v>
      </c>
      <c r="G29" s="3">
        <f t="shared" si="7"/>
        <v>341.20743469515452</v>
      </c>
      <c r="H29" s="3">
        <f t="shared" si="8"/>
        <v>-36.953602136037489</v>
      </c>
      <c r="I29" s="3">
        <f t="shared" si="9"/>
        <v>316.19244922133845</v>
      </c>
      <c r="J29" s="3">
        <f t="shared" si="10"/>
        <v>-2538.4521495176441</v>
      </c>
      <c r="K29" s="3">
        <f t="shared" si="0"/>
        <v>-36.963602135966937</v>
      </c>
      <c r="L29" s="3">
        <f t="shared" si="11"/>
        <v>-2587.4521495176855</v>
      </c>
      <c r="M29" s="3">
        <f t="shared" si="1"/>
        <v>2.4044887986149974</v>
      </c>
      <c r="N29" s="3">
        <f t="shared" si="2"/>
        <v>1.319844435804123</v>
      </c>
    </row>
    <row r="30" spans="1:14" x14ac:dyDescent="0.2">
      <c r="A30">
        <v>27</v>
      </c>
      <c r="B30">
        <v>84</v>
      </c>
      <c r="C30">
        <f t="shared" si="3"/>
        <v>1.319844435804123</v>
      </c>
      <c r="D30">
        <f t="shared" si="4"/>
        <v>2.4044887986149974</v>
      </c>
      <c r="E30">
        <f t="shared" si="5"/>
        <v>66.241041998409059</v>
      </c>
      <c r="F30" s="2">
        <f t="shared" si="6"/>
        <v>315.38058930227089</v>
      </c>
      <c r="G30" s="3">
        <f t="shared" si="7"/>
        <v>315.0255101422394</v>
      </c>
      <c r="H30" s="3">
        <f t="shared" si="8"/>
        <v>-35.507916003149376</v>
      </c>
      <c r="I30" s="3">
        <f t="shared" si="9"/>
        <v>305.86365198141192</v>
      </c>
      <c r="J30" s="3">
        <f t="shared" si="10"/>
        <v>-951.69373208589718</v>
      </c>
      <c r="K30" s="3">
        <f t="shared" si="0"/>
        <v>-35.517916003181881</v>
      </c>
      <c r="L30" s="3">
        <f t="shared" si="11"/>
        <v>-958.98373208591079</v>
      </c>
      <c r="M30" s="3">
        <f t="shared" si="1"/>
        <v>2.5003871718235886</v>
      </c>
      <c r="N30" s="3">
        <f t="shared" si="2"/>
        <v>1.3233962274044413</v>
      </c>
    </row>
    <row r="31" spans="1:14" x14ac:dyDescent="0.2">
      <c r="A31">
        <v>17</v>
      </c>
      <c r="B31">
        <v>64</v>
      </c>
      <c r="C31">
        <f t="shared" si="3"/>
        <v>1.3233962274044413</v>
      </c>
      <c r="D31">
        <f t="shared" si="4"/>
        <v>2.5003871718235886</v>
      </c>
      <c r="E31">
        <f t="shared" si="5"/>
        <v>43.829978148405452</v>
      </c>
      <c r="F31" s="2">
        <f t="shared" si="6"/>
        <v>406.82978149380153</v>
      </c>
      <c r="G31" s="3">
        <f t="shared" si="7"/>
        <v>406.42648105676977</v>
      </c>
      <c r="H31" s="3">
        <f t="shared" si="8"/>
        <v>-40.330043703175988</v>
      </c>
      <c r="I31" s="3">
        <f t="shared" si="9"/>
        <v>400.00087406425962</v>
      </c>
      <c r="J31" s="3">
        <f t="shared" si="10"/>
        <v>-682.89074295419141</v>
      </c>
      <c r="K31" s="3">
        <f t="shared" si="0"/>
        <v>-40.340043703189096</v>
      </c>
      <c r="L31" s="3">
        <f t="shared" si="11"/>
        <v>-685.78074295421459</v>
      </c>
      <c r="M31" s="3">
        <f t="shared" si="1"/>
        <v>2.56896524611901</v>
      </c>
      <c r="N31" s="3">
        <f t="shared" si="2"/>
        <v>1.3274302317747602</v>
      </c>
    </row>
    <row r="32" spans="1:14" x14ac:dyDescent="0.2">
      <c r="A32">
        <v>8</v>
      </c>
      <c r="B32">
        <v>46</v>
      </c>
      <c r="C32">
        <f t="shared" si="3"/>
        <v>1.3274302317747602</v>
      </c>
      <c r="D32">
        <f t="shared" si="4"/>
        <v>2.56896524611901</v>
      </c>
      <c r="E32">
        <f t="shared" si="5"/>
        <v>21.879152200726839</v>
      </c>
      <c r="F32" s="2">
        <f t="shared" si="6"/>
        <v>581.81529855570091</v>
      </c>
      <c r="G32" s="3">
        <f t="shared" si="7"/>
        <v>581.33298159971537</v>
      </c>
      <c r="H32" s="3">
        <f t="shared" si="8"/>
        <v>-48.23169559855387</v>
      </c>
      <c r="I32" s="3">
        <f t="shared" si="9"/>
        <v>577.96236290781724</v>
      </c>
      <c r="J32" s="3">
        <f t="shared" si="10"/>
        <v>-385.29356478836689</v>
      </c>
      <c r="K32" s="3">
        <f t="shared" si="0"/>
        <v>-48.241695598546322</v>
      </c>
      <c r="L32" s="3">
        <f t="shared" si="11"/>
        <v>-385.93356478837057</v>
      </c>
      <c r="M32" s="3">
        <f t="shared" si="1"/>
        <v>2.6075586025978472</v>
      </c>
      <c r="N32" s="3">
        <f t="shared" si="2"/>
        <v>1.3322544013346147</v>
      </c>
    </row>
    <row r="33" spans="3:12" x14ac:dyDescent="0.2">
      <c r="E33" t="s">
        <v>20</v>
      </c>
      <c r="F33" s="2">
        <f>SQRT(SUM(F4:F32))</f>
        <v>103.99322533093216</v>
      </c>
      <c r="K33" s="3">
        <f>SQRT(SUMSQ(K4:K32))</f>
        <v>207.98645066186432</v>
      </c>
      <c r="L33" s="3">
        <f>SQRT(SUMSQ(L4:L32))</f>
        <v>10536.690171363312</v>
      </c>
    </row>
    <row r="36" spans="3:12" x14ac:dyDescent="0.2">
      <c r="C36" t="s">
        <v>21</v>
      </c>
    </row>
    <row r="37" spans="3:12" x14ac:dyDescent="0.2">
      <c r="C37" t="s">
        <v>20</v>
      </c>
    </row>
    <row r="38" spans="3:12" x14ac:dyDescent="0.2">
      <c r="C38">
        <v>150.75521153771854</v>
      </c>
    </row>
    <row r="39" spans="3:12" x14ac:dyDescent="0.2">
      <c r="C39">
        <v>104.74921026693299</v>
      </c>
    </row>
    <row r="40" spans="3:12" x14ac:dyDescent="0.2">
      <c r="C40">
        <v>104.55969980561993</v>
      </c>
    </row>
    <row r="41" spans="3:12" x14ac:dyDescent="0.2">
      <c r="C41">
        <v>104.37053295106034</v>
      </c>
    </row>
    <row r="42" spans="3:12" x14ac:dyDescent="0.2">
      <c r="C42">
        <v>104.18170833255277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asic.somesteps">
                <anchor moveWithCells="1">
                  <from>
                    <xdr:col>0</xdr:col>
                    <xdr:colOff>0</xdr:colOff>
                    <xdr:row>1</xdr:row>
                    <xdr:rowOff>12700</xdr:rowOff>
                  </from>
                  <to>
                    <xdr:col>0</xdr:col>
                    <xdr:colOff>508000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basic.reset">
                <anchor moveWithCells="1">
                  <from>
                    <xdr:col>0</xdr:col>
                    <xdr:colOff>0</xdr:colOff>
                    <xdr:row>0</xdr:row>
                    <xdr:rowOff>25400</xdr:rowOff>
                  </from>
                  <to>
                    <xdr:col>0</xdr:col>
                    <xdr:colOff>508000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2A93C8-DECC-544F-8785-D9C51D68BF27}">
  <sheetPr codeName="basic1"/>
  <dimension ref="A1:V37"/>
  <sheetViews>
    <sheetView zoomScale="130" zoomScaleNormal="130" workbookViewId="0">
      <pane ySplit="3" topLeftCell="A5" activePane="bottomLeft" state="frozen"/>
      <selection pane="bottomLeft" activeCell="O34" sqref="O34"/>
    </sheetView>
  </sheetViews>
  <sheetFormatPr baseColWidth="10" defaultColWidth="8.83203125" defaultRowHeight="15" x14ac:dyDescent="0.2"/>
  <cols>
    <col min="1" max="1" width="7" customWidth="1"/>
    <col min="2" max="2" width="7.83203125" bestFit="1" customWidth="1"/>
    <col min="3" max="3" width="9.6640625" customWidth="1"/>
    <col min="4" max="4" width="7" customWidth="1"/>
    <col min="5" max="5" width="8.1640625" customWidth="1"/>
    <col min="6" max="6" width="6.83203125" bestFit="1" customWidth="1"/>
    <col min="7" max="7" width="8.6640625" bestFit="1" customWidth="1"/>
    <col min="8" max="8" width="11.1640625" bestFit="1" customWidth="1"/>
    <col min="9" max="9" width="10.83203125" customWidth="1"/>
    <col min="10" max="10" width="9.1640625" bestFit="1" customWidth="1"/>
    <col min="11" max="11" width="11.6640625" customWidth="1"/>
    <col min="12" max="12" width="12.83203125" customWidth="1"/>
    <col min="14" max="15" width="8.83203125" style="4"/>
    <col min="16" max="16" width="9.5" style="4" customWidth="1"/>
    <col min="18" max="18" width="12.83203125" customWidth="1"/>
  </cols>
  <sheetData>
    <row r="1" spans="1:22" ht="17.5" customHeight="1" x14ac:dyDescent="0.2">
      <c r="B1" t="s">
        <v>0</v>
      </c>
      <c r="C1">
        <v>1</v>
      </c>
      <c r="E1" t="s">
        <v>1</v>
      </c>
      <c r="F1">
        <v>1E-4</v>
      </c>
    </row>
    <row r="2" spans="1:22" ht="17.5" customHeight="1" thickBot="1" x14ac:dyDescent="0.25">
      <c r="B2" t="s">
        <v>3</v>
      </c>
      <c r="C2">
        <v>1</v>
      </c>
      <c r="H2" t="s">
        <v>4</v>
      </c>
    </row>
    <row r="3" spans="1:22" s="1" customFormat="1" ht="16" thickTop="1" x14ac:dyDescent="0.2">
      <c r="A3" s="1" t="s">
        <v>6</v>
      </c>
      <c r="B3" s="1" t="s">
        <v>7</v>
      </c>
      <c r="C3" s="1" t="s">
        <v>8</v>
      </c>
      <c r="D3" s="1" t="s">
        <v>9</v>
      </c>
      <c r="E3" s="1" t="s">
        <v>10</v>
      </c>
      <c r="F3" s="1" t="s">
        <v>11</v>
      </c>
      <c r="G3" s="1" t="s">
        <v>12</v>
      </c>
      <c r="H3" s="1" t="s">
        <v>13</v>
      </c>
      <c r="I3" s="1" t="s">
        <v>14</v>
      </c>
      <c r="J3" s="1" t="s">
        <v>15</v>
      </c>
      <c r="K3" s="1" t="s">
        <v>18</v>
      </c>
      <c r="L3" s="1" t="s">
        <v>19</v>
      </c>
      <c r="M3" s="1" t="s">
        <v>22</v>
      </c>
      <c r="N3" s="5" t="s">
        <v>23</v>
      </c>
      <c r="O3" s="6" t="s">
        <v>24</v>
      </c>
      <c r="P3" s="7" t="s">
        <v>25</v>
      </c>
      <c r="Q3" s="1" t="s">
        <v>9</v>
      </c>
      <c r="R3" s="1" t="s">
        <v>10</v>
      </c>
      <c r="S3" s="1" t="s">
        <v>11</v>
      </c>
      <c r="T3" s="1" t="s">
        <v>14</v>
      </c>
      <c r="U3" s="1" t="s">
        <v>15</v>
      </c>
      <c r="V3" s="1" t="s">
        <v>18</v>
      </c>
    </row>
    <row r="4" spans="1:22" x14ac:dyDescent="0.2">
      <c r="A4">
        <v>14</v>
      </c>
      <c r="B4">
        <v>58</v>
      </c>
      <c r="C4">
        <f>C1</f>
        <v>1</v>
      </c>
      <c r="D4">
        <f>C2</f>
        <v>1</v>
      </c>
      <c r="E4">
        <f>C4+D4*A4</f>
        <v>15</v>
      </c>
      <c r="F4" s="2">
        <f>(B4-E4)^2</f>
        <v>1849</v>
      </c>
      <c r="G4" s="3">
        <f>(((C4+0.01)+A4*D4)-B4)^2</f>
        <v>1848.1401000000001</v>
      </c>
      <c r="H4" s="3">
        <f>(G4-F4)/0.01</f>
        <v>-85.989999999992506</v>
      </c>
      <c r="I4" s="3">
        <f>(((D4+0.01)*A4+C4)-B4)^2</f>
        <v>1836.9795999999999</v>
      </c>
      <c r="J4" s="3">
        <f>(I4-F4)/0.01</f>
        <v>-1202.0400000000109</v>
      </c>
      <c r="K4" s="3">
        <f>D4-J4*$F$1</f>
        <v>1.1202040000000011</v>
      </c>
      <c r="L4" s="3">
        <f>C4-H4*$F$1</f>
        <v>1.0085989999999994</v>
      </c>
      <c r="M4">
        <v>1</v>
      </c>
      <c r="N4" s="8">
        <v>0.5</v>
      </c>
      <c r="O4" s="4">
        <f>N4*A4+M4</f>
        <v>8</v>
      </c>
      <c r="P4" s="9">
        <f>(O4-B4)^2</f>
        <v>2500</v>
      </c>
      <c r="Q4">
        <f>slope</f>
        <v>1</v>
      </c>
      <c r="R4">
        <f>Q4*A4+M4</f>
        <v>15</v>
      </c>
      <c r="S4" s="2">
        <f>(R4-B4)^2</f>
        <v>1849</v>
      </c>
      <c r="T4" s="3">
        <f>((Q4+0.01)*A4+M4-B4)^2</f>
        <v>1836.9795999999999</v>
      </c>
      <c r="U4" s="3">
        <f>(T4-S4)/0.01</f>
        <v>-1202.0400000000109</v>
      </c>
      <c r="V4" s="3">
        <f>Q4-U4*$F$1</f>
        <v>1.1202040000000011</v>
      </c>
    </row>
    <row r="5" spans="1:22" x14ac:dyDescent="0.2">
      <c r="A5">
        <v>86</v>
      </c>
      <c r="B5">
        <v>202</v>
      </c>
      <c r="C5">
        <f>L4</f>
        <v>1.0085989999999994</v>
      </c>
      <c r="D5">
        <f>K4</f>
        <v>1.1202040000000011</v>
      </c>
      <c r="E5">
        <f>C5+D5*A5</f>
        <v>97.346143000000097</v>
      </c>
      <c r="F5" s="2">
        <f>(B5-E5)^2</f>
        <v>10952.429784976428</v>
      </c>
      <c r="G5" s="3">
        <f>(((C5+0.01)+A5*D5)-B5)^2</f>
        <v>10950.336807836431</v>
      </c>
      <c r="H5" s="3">
        <f>(G5-F5)/0.01</f>
        <v>-209.29771399969468</v>
      </c>
      <c r="I5" s="3">
        <f>(((D5+0.01)*A5+C5)-B5)^2</f>
        <v>10773.164750936428</v>
      </c>
      <c r="J5" s="3">
        <f>(I5-F5)/0.01</f>
        <v>-17926.503403999959</v>
      </c>
      <c r="K5" s="3">
        <f>D5-J5*$F$1</f>
        <v>2.9128543403999974</v>
      </c>
      <c r="L5" s="3">
        <f>C5-H5*$F$1</f>
        <v>1.0295287713999688</v>
      </c>
      <c r="M5">
        <v>1</v>
      </c>
      <c r="N5" s="8">
        <v>0.6</v>
      </c>
      <c r="O5" s="4">
        <f>N5*A5+M5</f>
        <v>52.6</v>
      </c>
      <c r="P5" s="9">
        <f>(O5-B5)^2</f>
        <v>22320.36</v>
      </c>
      <c r="Q5" s="3">
        <f>V4</f>
        <v>1.1202040000000011</v>
      </c>
      <c r="R5">
        <f>Q5*A5+M5</f>
        <v>97.337544000000094</v>
      </c>
      <c r="S5" s="2">
        <f>(R5-B5)^2</f>
        <v>10954.229695951917</v>
      </c>
      <c r="T5" s="3">
        <f>((Q5+0.01)*A5+M5-B5)^2</f>
        <v>10774.949871631916</v>
      </c>
      <c r="U5" s="3">
        <f>(T5-S5)/0.01</f>
        <v>-17927.982432000135</v>
      </c>
      <c r="V5" s="3">
        <f>Q5-U5*$F$1</f>
        <v>2.9130022432000144</v>
      </c>
    </row>
    <row r="6" spans="1:22" x14ac:dyDescent="0.2">
      <c r="A6">
        <v>28</v>
      </c>
      <c r="B6">
        <v>86</v>
      </c>
      <c r="C6">
        <f>L5</f>
        <v>1.0295287713999688</v>
      </c>
      <c r="D6">
        <f>K5</f>
        <v>2.9128543403999974</v>
      </c>
      <c r="E6">
        <f>C6+D6*A6</f>
        <v>82.5894503025999</v>
      </c>
      <c r="F6" s="2">
        <f>(B6-E6)^2</f>
        <v>11.631849238435914</v>
      </c>
      <c r="G6" s="3">
        <f>(((C6+0.01)+A6*D6)-B6)^2</f>
        <v>11.563738244487876</v>
      </c>
      <c r="H6" s="3">
        <f>(G6-F6)/0.01</f>
        <v>-6.8110993948037546</v>
      </c>
      <c r="I6" s="3">
        <f>(((D6+0.01)*A6+C6)-B6)^2</f>
        <v>9.8003414078919384</v>
      </c>
      <c r="J6" s="3">
        <f>(I6-F6)/0.01</f>
        <v>-183.15078305439752</v>
      </c>
      <c r="K6" s="3">
        <f>D6-J6*$F$1</f>
        <v>2.9311694187054371</v>
      </c>
      <c r="L6" s="3">
        <f>C6-H6*$F$1</f>
        <v>1.0302098813394491</v>
      </c>
      <c r="M6">
        <v>1</v>
      </c>
      <c r="N6" s="8">
        <v>0.7</v>
      </c>
      <c r="O6" s="4">
        <f>N6*A6+M6</f>
        <v>20.599999999999998</v>
      </c>
      <c r="P6" s="9">
        <f>(O6-B6)^2</f>
        <v>4277.1600000000008</v>
      </c>
      <c r="Q6">
        <f>V5</f>
        <v>2.9130022432000144</v>
      </c>
      <c r="R6">
        <f>Q6*A6+M6</f>
        <v>82.564062809600401</v>
      </c>
      <c r="S6" s="2">
        <f>(R6-B6)^2</f>
        <v>11.805664376371091</v>
      </c>
      <c r="T6" s="3">
        <f>((Q6+0.01)*A6+M6-B6)^2</f>
        <v>9.9599395497473093</v>
      </c>
      <c r="U6" s="3">
        <f>(T6-S6)/0.01</f>
        <v>-184.57248266237815</v>
      </c>
      <c r="V6" s="3">
        <f>Q6-U6*$F$1</f>
        <v>2.9314594914662524</v>
      </c>
    </row>
    <row r="7" spans="1:22" x14ac:dyDescent="0.2">
      <c r="A7">
        <v>51</v>
      </c>
      <c r="B7">
        <v>132</v>
      </c>
      <c r="C7">
        <f t="shared" ref="C7:C32" si="0">L6</f>
        <v>1.0302098813394491</v>
      </c>
      <c r="D7">
        <f t="shared" ref="D7:D32" si="1">K6</f>
        <v>2.9311694187054371</v>
      </c>
      <c r="E7">
        <f t="shared" ref="E7:E32" si="2">C7+D7*A7</f>
        <v>150.51985023531674</v>
      </c>
      <c r="F7" s="2">
        <f t="shared" ref="F7:F32" si="3">(B7-E7)^2</f>
        <v>342.98485273856147</v>
      </c>
      <c r="G7" s="3">
        <f t="shared" ref="G7:G32" si="4">(((C7+0.01)+A7*D7)-B7)^2</f>
        <v>343.35534974326742</v>
      </c>
      <c r="H7" s="3">
        <f t="shared" ref="H7:H32" si="5">(G7-F7)/0.01</f>
        <v>37.049700470595326</v>
      </c>
      <c r="I7" s="3">
        <f t="shared" ref="I7:I32" si="6">(((D7+0.01)*A7+C7)-B7)^2</f>
        <v>362.13519997858418</v>
      </c>
      <c r="J7" s="3">
        <f t="shared" ref="J7:J32" si="7">(I7-F7)/0.01</f>
        <v>1915.0347240022711</v>
      </c>
      <c r="K7" s="3">
        <f>D7-J7*$F$1</f>
        <v>2.7396659463052102</v>
      </c>
      <c r="L7" s="3">
        <f>C7-H7*$F$1</f>
        <v>1.0265049112923896</v>
      </c>
      <c r="M7">
        <v>1</v>
      </c>
      <c r="N7" s="8">
        <v>0.8</v>
      </c>
      <c r="O7" s="4">
        <f>N7*A7+M7</f>
        <v>41.800000000000004</v>
      </c>
      <c r="P7" s="9">
        <f>(O7-B7)^2</f>
        <v>8136.0399999999981</v>
      </c>
      <c r="Q7">
        <f t="shared" ref="Q7:Q13" si="8">V6</f>
        <v>2.9314594914662524</v>
      </c>
      <c r="R7">
        <f t="shared" ref="R7:R13" si="9">Q7*A7+M7</f>
        <v>150.50443406477888</v>
      </c>
      <c r="S7" s="2">
        <f t="shared" ref="S7:S13" si="10">(R7-B7)^2</f>
        <v>342.41408005774895</v>
      </c>
      <c r="T7" s="3">
        <f t="shared" ref="T7:T13" si="11">((Q7+0.01)*A7+M7-B7)^2</f>
        <v>361.54870280382301</v>
      </c>
      <c r="U7" s="3">
        <f t="shared" ref="U7:U13" si="12">(T7-S7)/0.01</f>
        <v>1913.4622746074058</v>
      </c>
      <c r="V7" s="3">
        <f t="shared" ref="V7:V13" si="13">Q7-U7*$F$1</f>
        <v>2.7401132640055117</v>
      </c>
    </row>
    <row r="8" spans="1:22" x14ac:dyDescent="0.2">
      <c r="A8">
        <v>28</v>
      </c>
      <c r="B8">
        <v>86</v>
      </c>
      <c r="C8">
        <f t="shared" si="0"/>
        <v>1.0265049112923896</v>
      </c>
      <c r="D8">
        <f t="shared" si="1"/>
        <v>2.7396659463052102</v>
      </c>
      <c r="E8">
        <f t="shared" si="2"/>
        <v>77.737151407838283</v>
      </c>
      <c r="F8" s="2">
        <f t="shared" si="3"/>
        <v>68.274666856988873</v>
      </c>
      <c r="G8" s="3">
        <f t="shared" si="4"/>
        <v>68.109509885145783</v>
      </c>
      <c r="H8" s="3">
        <f t="shared" si="5"/>
        <v>-16.51569718430892</v>
      </c>
      <c r="I8" s="3">
        <f t="shared" si="6"/>
        <v>63.725871645378518</v>
      </c>
      <c r="J8" s="3">
        <f t="shared" si="7"/>
        <v>-454.87952116103543</v>
      </c>
      <c r="K8" s="3">
        <f>D8-J8*$F$1</f>
        <v>2.7851538984213136</v>
      </c>
      <c r="L8" s="3">
        <f>C8-H8*$F$1</f>
        <v>1.0281564810108206</v>
      </c>
      <c r="M8">
        <v>1</v>
      </c>
      <c r="N8" s="8">
        <v>0.9</v>
      </c>
      <c r="O8" s="4">
        <f>N8*A8+M8</f>
        <v>26.2</v>
      </c>
      <c r="P8" s="9">
        <f>(O8-B8)^2</f>
        <v>3576.0399999999995</v>
      </c>
      <c r="Q8">
        <f t="shared" si="8"/>
        <v>2.7401132640055117</v>
      </c>
      <c r="R8">
        <f t="shared" si="9"/>
        <v>77.723171392154327</v>
      </c>
      <c r="S8" s="2">
        <f t="shared" si="10"/>
        <v>68.505891803652531</v>
      </c>
      <c r="T8" s="3">
        <f t="shared" si="11"/>
        <v>63.949267783259167</v>
      </c>
      <c r="U8" s="3">
        <f t="shared" si="12"/>
        <v>-455.66240203933643</v>
      </c>
      <c r="V8" s="3">
        <f t="shared" si="13"/>
        <v>2.7856795042094453</v>
      </c>
    </row>
    <row r="9" spans="1:22" x14ac:dyDescent="0.2">
      <c r="A9">
        <v>29</v>
      </c>
      <c r="B9">
        <v>88</v>
      </c>
      <c r="C9">
        <f t="shared" si="0"/>
        <v>1.0281564810108206</v>
      </c>
      <c r="D9">
        <f t="shared" si="1"/>
        <v>2.7851538984213136</v>
      </c>
      <c r="E9">
        <f t="shared" si="2"/>
        <v>81.797619535228918</v>
      </c>
      <c r="F9" s="2">
        <f t="shared" si="3"/>
        <v>38.469523429773943</v>
      </c>
      <c r="G9" s="3">
        <f t="shared" si="4"/>
        <v>38.345575820478629</v>
      </c>
      <c r="H9" s="3">
        <f t="shared" si="5"/>
        <v>-12.394760929531401</v>
      </c>
      <c r="I9" s="3">
        <f t="shared" si="6"/>
        <v>34.956242760206806</v>
      </c>
      <c r="J9" s="3">
        <f t="shared" si="7"/>
        <v>-351.32806695671377</v>
      </c>
      <c r="K9" s="3">
        <f>D9-J9*$F$1</f>
        <v>2.8202867051169851</v>
      </c>
      <c r="L9" s="3">
        <f>C9-H9*$F$1</f>
        <v>1.0293959571037736</v>
      </c>
      <c r="M9">
        <v>1</v>
      </c>
      <c r="N9" s="8">
        <v>1</v>
      </c>
      <c r="O9" s="4">
        <f>N9*A9+M9</f>
        <v>30</v>
      </c>
      <c r="P9" s="9">
        <f>(O9-B9)^2</f>
        <v>3364</v>
      </c>
      <c r="Q9">
        <f t="shared" si="8"/>
        <v>2.7856795042094453</v>
      </c>
      <c r="R9">
        <f t="shared" si="9"/>
        <v>81.784705622073915</v>
      </c>
      <c r="S9" s="2">
        <f t="shared" si="10"/>
        <v>38.629884204279605</v>
      </c>
      <c r="T9" s="3">
        <f t="shared" si="11"/>
        <v>35.109113465082565</v>
      </c>
      <c r="U9" s="3">
        <f t="shared" si="12"/>
        <v>-352.07707391970399</v>
      </c>
      <c r="V9" s="3">
        <f t="shared" si="13"/>
        <v>2.8208872116014159</v>
      </c>
    </row>
    <row r="10" spans="1:22" x14ac:dyDescent="0.2">
      <c r="A10">
        <v>72</v>
      </c>
      <c r="B10">
        <v>174</v>
      </c>
      <c r="C10">
        <f t="shared" si="0"/>
        <v>1.0293959571037736</v>
      </c>
      <c r="D10">
        <f t="shared" si="1"/>
        <v>2.8202867051169851</v>
      </c>
      <c r="E10">
        <f t="shared" si="2"/>
        <v>204.09003872552671</v>
      </c>
      <c r="F10" s="2">
        <f t="shared" si="3"/>
        <v>905.41043050369706</v>
      </c>
      <c r="G10" s="3">
        <f t="shared" si="4"/>
        <v>906.01233127820706</v>
      </c>
      <c r="H10" s="3">
        <f t="shared" si="5"/>
        <v>60.190077450999979</v>
      </c>
      <c r="I10" s="3">
        <f t="shared" si="6"/>
        <v>949.2584862684555</v>
      </c>
      <c r="J10" s="3">
        <f t="shared" si="7"/>
        <v>4384.8055764758437</v>
      </c>
      <c r="K10" s="3">
        <f>D10-J10*$F$1</f>
        <v>2.3818061474694008</v>
      </c>
      <c r="L10" s="3">
        <f>C10-H10*$F$1</f>
        <v>1.0233769493586737</v>
      </c>
      <c r="M10">
        <v>1</v>
      </c>
      <c r="N10" s="8">
        <v>1.1000000000000001</v>
      </c>
      <c r="O10" s="4">
        <f>N10*A10+M10</f>
        <v>80.2</v>
      </c>
      <c r="P10" s="9">
        <f>(O10-B10)^2</f>
        <v>8798.4399999999987</v>
      </c>
      <c r="Q10">
        <f t="shared" si="8"/>
        <v>2.8208872116014159</v>
      </c>
      <c r="R10">
        <f t="shared" si="9"/>
        <v>204.10387923530195</v>
      </c>
      <c r="S10" s="2">
        <f t="shared" si="10"/>
        <v>906.24354501364371</v>
      </c>
      <c r="T10" s="3">
        <f t="shared" si="11"/>
        <v>950.11153111247665</v>
      </c>
      <c r="U10" s="3">
        <f t="shared" si="12"/>
        <v>4386.7986098832944</v>
      </c>
      <c r="V10" s="3">
        <f t="shared" si="13"/>
        <v>2.3822073506130863</v>
      </c>
    </row>
    <row r="11" spans="1:22" x14ac:dyDescent="0.2">
      <c r="A11">
        <v>62</v>
      </c>
      <c r="B11">
        <v>154</v>
      </c>
      <c r="C11">
        <f t="shared" si="0"/>
        <v>1.0233769493586737</v>
      </c>
      <c r="D11">
        <f t="shared" si="1"/>
        <v>2.3818061474694008</v>
      </c>
      <c r="E11">
        <f t="shared" si="2"/>
        <v>148.6953580924615</v>
      </c>
      <c r="F11" s="2">
        <f t="shared" si="3"/>
        <v>28.139225767213656</v>
      </c>
      <c r="G11" s="3">
        <f t="shared" si="4"/>
        <v>28.033232929062681</v>
      </c>
      <c r="H11" s="3">
        <f t="shared" si="5"/>
        <v>-10.599283815097493</v>
      </c>
      <c r="I11" s="3">
        <f t="shared" si="6"/>
        <v>21.945869801865875</v>
      </c>
      <c r="J11" s="3">
        <f t="shared" si="7"/>
        <v>-619.33559653477812</v>
      </c>
      <c r="K11" s="3">
        <f>D11-J11*$F$1</f>
        <v>2.4437397071228788</v>
      </c>
      <c r="L11" s="3">
        <f>C11-H11*$F$1</f>
        <v>1.0244368777401835</v>
      </c>
      <c r="M11">
        <v>1</v>
      </c>
      <c r="N11" s="8">
        <v>1.2</v>
      </c>
      <c r="O11" s="4">
        <f>N11*A11+M11</f>
        <v>75.399999999999991</v>
      </c>
      <c r="P11" s="9">
        <f>(O11-B11)^2</f>
        <v>6177.9600000000009</v>
      </c>
      <c r="Q11">
        <f t="shared" si="8"/>
        <v>2.3822073506130863</v>
      </c>
      <c r="R11">
        <f t="shared" si="9"/>
        <v>148.69685573801135</v>
      </c>
      <c r="S11" s="2">
        <f t="shared" si="10"/>
        <v>28.123339063463135</v>
      </c>
      <c r="T11" s="3">
        <f t="shared" si="11"/>
        <v>21.931840178597433</v>
      </c>
      <c r="U11" s="3">
        <f t="shared" si="12"/>
        <v>-619.14988848657015</v>
      </c>
      <c r="V11" s="3">
        <f t="shared" si="13"/>
        <v>2.4441223394617433</v>
      </c>
    </row>
    <row r="12" spans="1:22" x14ac:dyDescent="0.2">
      <c r="A12">
        <v>84</v>
      </c>
      <c r="B12">
        <v>198</v>
      </c>
      <c r="C12">
        <f t="shared" si="0"/>
        <v>1.0244368777401835</v>
      </c>
      <c r="D12">
        <f t="shared" si="1"/>
        <v>2.4437397071228788</v>
      </c>
      <c r="E12">
        <f t="shared" si="2"/>
        <v>206.298572276062</v>
      </c>
      <c r="F12" s="2">
        <f t="shared" si="3"/>
        <v>68.866301821024905</v>
      </c>
      <c r="G12" s="3">
        <f t="shared" si="4"/>
        <v>69.032373266545989</v>
      </c>
      <c r="H12" s="3">
        <f t="shared" si="5"/>
        <v>16.607144552108366</v>
      </c>
      <c r="I12" s="3">
        <f t="shared" si="6"/>
        <v>83.513503244808604</v>
      </c>
      <c r="J12" s="3">
        <f t="shared" si="7"/>
        <v>1464.7201423783699</v>
      </c>
      <c r="K12" s="3">
        <f>D12-J12*$F$1</f>
        <v>2.297267692885042</v>
      </c>
      <c r="L12" s="3">
        <f>C12-H12*$F$1</f>
        <v>1.0227761632849728</v>
      </c>
      <c r="M12">
        <v>1</v>
      </c>
      <c r="N12" s="8">
        <v>1.3</v>
      </c>
      <c r="O12" s="4">
        <f>N12*A12+M12</f>
        <v>110.2</v>
      </c>
      <c r="P12" s="9">
        <f>(O12-B12)^2</f>
        <v>7708.8399999999992</v>
      </c>
      <c r="Q12">
        <f t="shared" si="8"/>
        <v>2.4441223394617433</v>
      </c>
      <c r="R12">
        <f t="shared" si="9"/>
        <v>206.30627651478645</v>
      </c>
      <c r="S12" s="2">
        <f t="shared" si="10"/>
        <v>68.994229540092874</v>
      </c>
      <c r="T12" s="3">
        <f t="shared" si="11"/>
        <v>83.65437408493365</v>
      </c>
      <c r="U12" s="3">
        <f t="shared" si="12"/>
        <v>1466.0144544840775</v>
      </c>
      <c r="V12" s="3">
        <f t="shared" si="13"/>
        <v>2.2975208940133354</v>
      </c>
    </row>
    <row r="13" spans="1:22" x14ac:dyDescent="0.2">
      <c r="A13">
        <v>15</v>
      </c>
      <c r="B13">
        <v>60</v>
      </c>
      <c r="C13">
        <f t="shared" si="0"/>
        <v>1.0227761632849728</v>
      </c>
      <c r="D13">
        <f t="shared" si="1"/>
        <v>2.297267692885042</v>
      </c>
      <c r="E13">
        <f t="shared" si="2"/>
        <v>35.481791556560601</v>
      </c>
      <c r="F13" s="2">
        <f t="shared" si="3"/>
        <v>601.14254527594301</v>
      </c>
      <c r="G13" s="3">
        <f t="shared" si="4"/>
        <v>600.65228110707437</v>
      </c>
      <c r="H13" s="3">
        <f t="shared" si="5"/>
        <v>-49.026416886863444</v>
      </c>
      <c r="I13" s="3">
        <f t="shared" si="6"/>
        <v>593.80958274291129</v>
      </c>
      <c r="J13" s="3">
        <f t="shared" si="7"/>
        <v>-733.29625330317185</v>
      </c>
      <c r="K13" s="3">
        <f>D13-J13*$F$1</f>
        <v>2.370597318215359</v>
      </c>
      <c r="L13" s="3">
        <f>C13-H13*$F$1</f>
        <v>1.0276788049736592</v>
      </c>
      <c r="M13">
        <v>1</v>
      </c>
      <c r="N13" s="8">
        <v>1.4</v>
      </c>
      <c r="O13" s="4">
        <f>N13*A13+M13</f>
        <v>22</v>
      </c>
      <c r="P13" s="9">
        <f>(O13-B13)^2</f>
        <v>1444</v>
      </c>
      <c r="Q13">
        <f t="shared" si="8"/>
        <v>2.2975208940133354</v>
      </c>
      <c r="R13">
        <f t="shared" si="9"/>
        <v>35.462813410200027</v>
      </c>
      <c r="S13" s="2">
        <f t="shared" si="10"/>
        <v>602.07352574265963</v>
      </c>
      <c r="T13" s="3">
        <f t="shared" si="11"/>
        <v>594.73486976571974</v>
      </c>
      <c r="U13" s="3">
        <f t="shared" si="12"/>
        <v>-733.865597693989</v>
      </c>
      <c r="V13" s="3">
        <f t="shared" si="13"/>
        <v>2.3709074537827344</v>
      </c>
    </row>
    <row r="14" spans="1:22" x14ac:dyDescent="0.2">
      <c r="A14">
        <v>42</v>
      </c>
      <c r="B14">
        <v>114</v>
      </c>
      <c r="C14">
        <f t="shared" si="0"/>
        <v>1.0276788049736592</v>
      </c>
      <c r="D14">
        <f t="shared" si="1"/>
        <v>2.370597318215359</v>
      </c>
      <c r="E14">
        <f t="shared" si="2"/>
        <v>100.59276617001873</v>
      </c>
      <c r="F14" s="2">
        <f t="shared" si="3"/>
        <v>179.75391897179412</v>
      </c>
      <c r="G14" s="3">
        <f t="shared" si="4"/>
        <v>179.48587429519435</v>
      </c>
      <c r="H14" s="3">
        <f t="shared" si="5"/>
        <v>-26.804467659977149</v>
      </c>
      <c r="I14" s="3">
        <f t="shared" si="6"/>
        <v>168.6682425546098</v>
      </c>
      <c r="J14" s="3">
        <f t="shared" si="7"/>
        <v>-1108.5676417184316</v>
      </c>
      <c r="K14" s="3">
        <f>D14-J14*$F$1</f>
        <v>2.4814540823872022</v>
      </c>
      <c r="L14" s="3">
        <f>C14-H14*$F$1</f>
        <v>1.0303592517396569</v>
      </c>
      <c r="M14">
        <v>1</v>
      </c>
      <c r="N14" s="8">
        <v>1.5</v>
      </c>
      <c r="O14" s="4">
        <f>N14*A14+M14</f>
        <v>64</v>
      </c>
      <c r="P14" s="9">
        <f>(O14-B14)^2</f>
        <v>2500</v>
      </c>
      <c r="Q14">
        <f t="shared" ref="Q14:Q32" si="14">V13</f>
        <v>2.3709074537827344</v>
      </c>
      <c r="R14">
        <f t="shared" ref="R14:R32" si="15">Q14*A14+M14</f>
        <v>100.57811305887485</v>
      </c>
      <c r="S14" s="2">
        <f t="shared" ref="S14:S32" si="16">(R14-B14)^2</f>
        <v>180.14704906034589</v>
      </c>
      <c r="T14" s="3">
        <f t="shared" ref="T14:T32" si="17">((Q14+0.01)*A14+M14-B14)^2</f>
        <v>169.04906402980109</v>
      </c>
      <c r="U14" s="3">
        <f t="shared" ref="U14:U32" si="18">(T14-S14)/0.01</f>
        <v>-1109.7985030544805</v>
      </c>
      <c r="V14" s="3">
        <f t="shared" ref="V14:V32" si="19">Q14-U14*$F$1</f>
        <v>2.4818873040881826</v>
      </c>
    </row>
    <row r="15" spans="1:22" x14ac:dyDescent="0.2">
      <c r="A15">
        <v>62</v>
      </c>
      <c r="B15">
        <v>154</v>
      </c>
      <c r="C15">
        <f t="shared" si="0"/>
        <v>1.0303592517396569</v>
      </c>
      <c r="D15">
        <f t="shared" si="1"/>
        <v>2.4814540823872022</v>
      </c>
      <c r="E15">
        <f t="shared" si="2"/>
        <v>154.88051235974621</v>
      </c>
      <c r="F15" s="2">
        <f t="shared" si="3"/>
        <v>0.77530201566583157</v>
      </c>
      <c r="G15" s="3">
        <f t="shared" si="4"/>
        <v>0.79301226286073945</v>
      </c>
      <c r="H15" s="3">
        <f t="shared" si="5"/>
        <v>1.771024719490788</v>
      </c>
      <c r="I15" s="3">
        <f t="shared" si="6"/>
        <v>2.2515373417510549</v>
      </c>
      <c r="J15" s="3">
        <f t="shared" si="7"/>
        <v>147.62353260852231</v>
      </c>
      <c r="K15" s="3">
        <f>D15-J15*$F$1</f>
        <v>2.4666917291263499</v>
      </c>
      <c r="L15" s="3">
        <f>C15-H15*$F$1</f>
        <v>1.0301821492677079</v>
      </c>
      <c r="M15">
        <v>1</v>
      </c>
      <c r="N15" s="8">
        <v>1.6</v>
      </c>
      <c r="O15" s="4">
        <f>N15*A15+M15</f>
        <v>100.2</v>
      </c>
      <c r="P15" s="9">
        <f>(O15-B15)^2</f>
        <v>2894.4399999999996</v>
      </c>
      <c r="Q15">
        <f t="shared" si="14"/>
        <v>2.4818873040881826</v>
      </c>
      <c r="R15">
        <f t="shared" si="15"/>
        <v>154.87701285346731</v>
      </c>
      <c r="S15" s="2">
        <f t="shared" si="16"/>
        <v>0.7691515451468669</v>
      </c>
      <c r="T15" s="3">
        <f t="shared" si="17"/>
        <v>2.2410474834463403</v>
      </c>
      <c r="U15" s="3">
        <f t="shared" si="18"/>
        <v>147.18959382994734</v>
      </c>
      <c r="V15" s="3">
        <f t="shared" si="19"/>
        <v>2.467168344705188</v>
      </c>
    </row>
    <row r="16" spans="1:22" x14ac:dyDescent="0.2">
      <c r="A16">
        <v>47</v>
      </c>
      <c r="B16">
        <v>124</v>
      </c>
      <c r="C16">
        <f t="shared" si="0"/>
        <v>1.0301821492677079</v>
      </c>
      <c r="D16">
        <f t="shared" si="1"/>
        <v>2.4666917291263499</v>
      </c>
      <c r="E16">
        <f t="shared" si="2"/>
        <v>116.96469341820615</v>
      </c>
      <c r="F16" s="2">
        <f t="shared" si="3"/>
        <v>49.495538699831826</v>
      </c>
      <c r="G16" s="3">
        <f t="shared" si="4"/>
        <v>49.354932568195878</v>
      </c>
      <c r="H16" s="3">
        <f t="shared" si="5"/>
        <v>-14.060613163594837</v>
      </c>
      <c r="I16" s="3">
        <f t="shared" si="6"/>
        <v>43.103250512945813</v>
      </c>
      <c r="J16" s="3">
        <f t="shared" si="7"/>
        <v>-639.22881868860134</v>
      </c>
      <c r="K16" s="3">
        <f>D16-J16*$F$1</f>
        <v>2.5306146109952099</v>
      </c>
      <c r="L16" s="3">
        <f>C16-H16*$F$1</f>
        <v>1.0315882105840675</v>
      </c>
      <c r="M16">
        <v>1</v>
      </c>
      <c r="N16" s="8">
        <v>1.7</v>
      </c>
      <c r="O16" s="4">
        <f>N16*A16+M16</f>
        <v>80.899999999999991</v>
      </c>
      <c r="P16" s="9">
        <f>(O16-B16)^2</f>
        <v>1857.6100000000008</v>
      </c>
      <c r="Q16">
        <f t="shared" si="14"/>
        <v>2.467168344705188</v>
      </c>
      <c r="R16">
        <f t="shared" si="15"/>
        <v>116.95691220114384</v>
      </c>
      <c r="S16" s="2">
        <f t="shared" si="16"/>
        <v>49.605085742396554</v>
      </c>
      <c r="T16" s="3">
        <f t="shared" si="17"/>
        <v>43.205483211471964</v>
      </c>
      <c r="U16" s="3">
        <f t="shared" si="18"/>
        <v>-639.96025309245897</v>
      </c>
      <c r="V16" s="3">
        <f t="shared" si="19"/>
        <v>2.5311643700144337</v>
      </c>
    </row>
    <row r="17" spans="1:22" x14ac:dyDescent="0.2">
      <c r="A17">
        <v>35</v>
      </c>
      <c r="B17">
        <v>100</v>
      </c>
      <c r="C17">
        <f t="shared" si="0"/>
        <v>1.0315882105840675</v>
      </c>
      <c r="D17">
        <f t="shared" si="1"/>
        <v>2.5306146109952099</v>
      </c>
      <c r="E17">
        <f t="shared" si="2"/>
        <v>89.60309959541641</v>
      </c>
      <c r="F17" s="2">
        <f t="shared" si="3"/>
        <v>108.09553802283043</v>
      </c>
      <c r="G17" s="3">
        <f t="shared" si="4"/>
        <v>107.88770001473864</v>
      </c>
      <c r="H17" s="3">
        <f t="shared" si="5"/>
        <v>-20.783800809178388</v>
      </c>
      <c r="I17" s="3">
        <f t="shared" si="6"/>
        <v>100.94020773962202</v>
      </c>
      <c r="J17" s="3">
        <f t="shared" si="7"/>
        <v>-715.53302832084</v>
      </c>
      <c r="K17" s="3">
        <f>D17-J17*$F$1</f>
        <v>2.602167913827294</v>
      </c>
      <c r="L17" s="3">
        <f>C17-H17*$F$1</f>
        <v>1.0336665906649853</v>
      </c>
      <c r="M17">
        <v>1</v>
      </c>
      <c r="N17" s="8">
        <v>1.8</v>
      </c>
      <c r="O17" s="4">
        <f>N17*A17+M17</f>
        <v>64</v>
      </c>
      <c r="P17" s="9">
        <f>(O17-B17)^2</f>
        <v>1296</v>
      </c>
      <c r="Q17">
        <f t="shared" si="14"/>
        <v>2.5311643700144337</v>
      </c>
      <c r="R17">
        <f t="shared" si="15"/>
        <v>89.590752950505177</v>
      </c>
      <c r="S17" s="2">
        <f t="shared" si="16"/>
        <v>108.35242413741668</v>
      </c>
      <c r="T17" s="3">
        <f t="shared" si="17"/>
        <v>101.18845120277042</v>
      </c>
      <c r="U17" s="3">
        <f t="shared" si="18"/>
        <v>-716.39729346462525</v>
      </c>
      <c r="V17" s="3">
        <f t="shared" si="19"/>
        <v>2.6028040993608963</v>
      </c>
    </row>
    <row r="18" spans="1:22" x14ac:dyDescent="0.2">
      <c r="A18">
        <v>9</v>
      </c>
      <c r="B18">
        <v>48</v>
      </c>
      <c r="C18">
        <f t="shared" si="0"/>
        <v>1.0336665906649853</v>
      </c>
      <c r="D18">
        <f t="shared" si="1"/>
        <v>2.602167913827294</v>
      </c>
      <c r="E18">
        <f t="shared" si="2"/>
        <v>24.453177815110632</v>
      </c>
      <c r="F18" s="2">
        <f t="shared" si="3"/>
        <v>554.45283500679818</v>
      </c>
      <c r="G18" s="3">
        <f t="shared" si="4"/>
        <v>553.98199856310032</v>
      </c>
      <c r="H18" s="3">
        <f t="shared" si="5"/>
        <v>-47.083644369786271</v>
      </c>
      <c r="I18" s="3">
        <f t="shared" si="6"/>
        <v>550.22250701351822</v>
      </c>
      <c r="J18" s="3">
        <f t="shared" si="7"/>
        <v>-423.03279932799569</v>
      </c>
      <c r="K18" s="3">
        <f>D18-J18*$F$1</f>
        <v>2.6444711937600935</v>
      </c>
      <c r="L18" s="3">
        <f>C18-H18*$F$1</f>
        <v>1.0383749551019639</v>
      </c>
      <c r="M18">
        <v>1</v>
      </c>
      <c r="N18" s="8">
        <v>1.9</v>
      </c>
      <c r="O18" s="4">
        <f>N18*A18+M18</f>
        <v>18.099999999999998</v>
      </c>
      <c r="P18" s="9">
        <f>(O18-B18)^2</f>
        <v>894.0100000000001</v>
      </c>
      <c r="Q18">
        <f t="shared" si="14"/>
        <v>2.6028040993608963</v>
      </c>
      <c r="R18">
        <f t="shared" si="15"/>
        <v>24.425236894248066</v>
      </c>
      <c r="S18" s="2">
        <f t="shared" si="16"/>
        <v>555.76945549232255</v>
      </c>
      <c r="T18" s="3">
        <f t="shared" si="17"/>
        <v>551.53409813328722</v>
      </c>
      <c r="U18" s="3">
        <f t="shared" si="18"/>
        <v>-423.53573590353335</v>
      </c>
      <c r="V18" s="3">
        <f t="shared" si="19"/>
        <v>2.6451576729512496</v>
      </c>
    </row>
    <row r="19" spans="1:22" x14ac:dyDescent="0.2">
      <c r="A19">
        <v>38</v>
      </c>
      <c r="B19">
        <v>106</v>
      </c>
      <c r="C19">
        <f t="shared" si="0"/>
        <v>1.0383749551019639</v>
      </c>
      <c r="D19">
        <f t="shared" si="1"/>
        <v>2.6444711937600935</v>
      </c>
      <c r="E19">
        <f t="shared" si="2"/>
        <v>101.52828031798551</v>
      </c>
      <c r="F19" s="2">
        <f t="shared" si="3"/>
        <v>19.996276914515814</v>
      </c>
      <c r="G19" s="3">
        <f t="shared" si="4"/>
        <v>19.906942520875479</v>
      </c>
      <c r="H19" s="3">
        <f t="shared" si="5"/>
        <v>-8.9334393640335463</v>
      </c>
      <c r="I19" s="3">
        <f t="shared" si="6"/>
        <v>16.742169956184835</v>
      </c>
      <c r="J19" s="3">
        <f t="shared" si="7"/>
        <v>-325.41069583309792</v>
      </c>
      <c r="K19" s="3">
        <f>D19-J19*$F$1</f>
        <v>2.6770122633434035</v>
      </c>
      <c r="L19" s="3">
        <f>C19-H19*$F$1</f>
        <v>1.0392682990383673</v>
      </c>
      <c r="M19">
        <v>1</v>
      </c>
      <c r="N19" s="8">
        <v>2</v>
      </c>
      <c r="O19" s="4">
        <f>N19*A19+M19</f>
        <v>77</v>
      </c>
      <c r="P19" s="9">
        <f>(O19-B19)^2</f>
        <v>841</v>
      </c>
      <c r="Q19">
        <f t="shared" si="14"/>
        <v>2.6451576729512496</v>
      </c>
      <c r="R19">
        <f t="shared" si="15"/>
        <v>101.51599157214748</v>
      </c>
      <c r="S19" s="2">
        <f t="shared" si="16"/>
        <v>20.106331581052387</v>
      </c>
      <c r="T19" s="3">
        <f t="shared" si="17"/>
        <v>16.842885175884511</v>
      </c>
      <c r="U19" s="3">
        <f t="shared" si="18"/>
        <v>-326.34464051678759</v>
      </c>
      <c r="V19" s="3">
        <f t="shared" si="19"/>
        <v>2.6777921370029283</v>
      </c>
    </row>
    <row r="20" spans="1:22" x14ac:dyDescent="0.2">
      <c r="A20">
        <v>44</v>
      </c>
      <c r="B20">
        <v>118</v>
      </c>
      <c r="C20">
        <f t="shared" si="0"/>
        <v>1.0392682990383673</v>
      </c>
      <c r="D20">
        <f t="shared" si="1"/>
        <v>2.6770122633434035</v>
      </c>
      <c r="E20">
        <f t="shared" si="2"/>
        <v>118.82780788614812</v>
      </c>
      <c r="F20" s="2">
        <f t="shared" si="3"/>
        <v>0.68526589636902202</v>
      </c>
      <c r="G20" s="3">
        <f t="shared" si="4"/>
        <v>0.70192205409199304</v>
      </c>
      <c r="H20" s="3">
        <f t="shared" si="5"/>
        <v>1.6656157722971021</v>
      </c>
      <c r="I20" s="3">
        <f t="shared" si="6"/>
        <v>1.6073368361793277</v>
      </c>
      <c r="J20" s="3">
        <f t="shared" si="7"/>
        <v>92.207093981030567</v>
      </c>
      <c r="K20" s="3">
        <f>D20-J20*$F$1</f>
        <v>2.6677915539453005</v>
      </c>
      <c r="L20" s="3">
        <f>C20-H20*$F$1</f>
        <v>1.0391017374611375</v>
      </c>
      <c r="M20">
        <v>1</v>
      </c>
      <c r="N20" s="8">
        <v>2.1</v>
      </c>
      <c r="O20" s="4">
        <f>N20*A20+M20</f>
        <v>93.4</v>
      </c>
      <c r="P20" s="9">
        <f>(O20-B20)^2</f>
        <v>605.15999999999974</v>
      </c>
      <c r="Q20">
        <f t="shared" si="14"/>
        <v>2.6777921370029283</v>
      </c>
      <c r="R20">
        <f t="shared" si="15"/>
        <v>118.82285402812884</v>
      </c>
      <c r="S20" s="2">
        <f t="shared" si="16"/>
        <v>0.6770887516078653</v>
      </c>
      <c r="T20" s="3">
        <f t="shared" si="17"/>
        <v>1.5948002963612069</v>
      </c>
      <c r="U20" s="3">
        <f t="shared" si="18"/>
        <v>91.771154475334157</v>
      </c>
      <c r="V20" s="3">
        <f t="shared" si="19"/>
        <v>2.6686150215553948</v>
      </c>
    </row>
    <row r="21" spans="1:22" x14ac:dyDescent="0.2">
      <c r="A21">
        <v>99</v>
      </c>
      <c r="B21">
        <v>228</v>
      </c>
      <c r="C21">
        <f t="shared" si="0"/>
        <v>1.0391017374611375</v>
      </c>
      <c r="D21">
        <f t="shared" si="1"/>
        <v>2.6677915539453005</v>
      </c>
      <c r="E21">
        <f t="shared" si="2"/>
        <v>265.1504655780459</v>
      </c>
      <c r="F21" s="2">
        <f t="shared" si="3"/>
        <v>1380.1570926655729</v>
      </c>
      <c r="G21" s="3">
        <f t="shared" si="4"/>
        <v>1380.9002019771333</v>
      </c>
      <c r="H21" s="3">
        <f t="shared" si="5"/>
        <v>74.310931156037441</v>
      </c>
      <c r="I21" s="3">
        <f t="shared" si="6"/>
        <v>1454.6951145101002</v>
      </c>
      <c r="J21" s="3">
        <f t="shared" si="7"/>
        <v>7453.8021844527293</v>
      </c>
      <c r="K21" s="3">
        <f>D21-J21*$F$1</f>
        <v>1.9224113355000276</v>
      </c>
      <c r="L21" s="3">
        <f>C21-H21*$F$1</f>
        <v>1.0316706443455339</v>
      </c>
      <c r="M21">
        <v>1</v>
      </c>
      <c r="N21" s="8">
        <v>2.2000000000000002</v>
      </c>
      <c r="O21" s="4">
        <f>N21*A21+M21</f>
        <v>218.8</v>
      </c>
      <c r="P21" s="9">
        <f>(O21-B21)^2</f>
        <v>84.639999999999787</v>
      </c>
      <c r="Q21">
        <f t="shared" si="14"/>
        <v>2.6686150215553948</v>
      </c>
      <c r="R21">
        <f t="shared" si="15"/>
        <v>265.19288713398407</v>
      </c>
      <c r="S21" s="2">
        <f t="shared" si="16"/>
        <v>1383.3108533612779</v>
      </c>
      <c r="T21" s="3">
        <f t="shared" si="17"/>
        <v>1457.932869886567</v>
      </c>
      <c r="U21" s="3">
        <f t="shared" si="18"/>
        <v>7462.2016525289155</v>
      </c>
      <c r="V21" s="3">
        <f t="shared" si="19"/>
        <v>1.9223948563025033</v>
      </c>
    </row>
    <row r="22" spans="1:22" x14ac:dyDescent="0.2">
      <c r="A22">
        <v>13</v>
      </c>
      <c r="B22">
        <v>56</v>
      </c>
      <c r="C22">
        <f t="shared" si="0"/>
        <v>1.0316706443455339</v>
      </c>
      <c r="D22">
        <f t="shared" si="1"/>
        <v>1.9224113355000276</v>
      </c>
      <c r="E22">
        <f t="shared" si="2"/>
        <v>26.023018005845895</v>
      </c>
      <c r="F22" s="2">
        <f t="shared" si="3"/>
        <v>898.61944947783945</v>
      </c>
      <c r="G22" s="3">
        <f t="shared" si="4"/>
        <v>898.02000983795642</v>
      </c>
      <c r="H22" s="3">
        <f t="shared" si="5"/>
        <v>-59.94396398830304</v>
      </c>
      <c r="I22" s="3">
        <f t="shared" si="6"/>
        <v>890.84233415935944</v>
      </c>
      <c r="J22" s="3">
        <f t="shared" si="7"/>
        <v>-777.71153184800141</v>
      </c>
      <c r="K22" s="3">
        <f>D22-J22*$F$1</f>
        <v>2.0001824886848278</v>
      </c>
      <c r="L22" s="3">
        <f>C22-H22*$F$1</f>
        <v>1.0376650407443642</v>
      </c>
      <c r="M22">
        <v>1</v>
      </c>
      <c r="N22" s="8">
        <v>2.2999999999999998</v>
      </c>
      <c r="O22" s="4">
        <f>N22*A22+M22</f>
        <v>30.9</v>
      </c>
      <c r="P22" s="9">
        <f>(O22-B22)^2</f>
        <v>630.0100000000001</v>
      </c>
      <c r="Q22">
        <f t="shared" si="14"/>
        <v>1.9223948563025033</v>
      </c>
      <c r="R22">
        <f t="shared" si="15"/>
        <v>25.991133131932543</v>
      </c>
      <c r="S22" s="2">
        <f t="shared" si="16"/>
        <v>900.53209070539674</v>
      </c>
      <c r="T22" s="3">
        <f t="shared" si="17"/>
        <v>892.74668531969928</v>
      </c>
      <c r="U22" s="3">
        <f t="shared" si="18"/>
        <v>-778.54053856974588</v>
      </c>
      <c r="V22" s="3">
        <f t="shared" si="19"/>
        <v>2.000248910159478</v>
      </c>
    </row>
    <row r="23" spans="1:22" x14ac:dyDescent="0.2">
      <c r="A23">
        <v>21</v>
      </c>
      <c r="B23">
        <v>72</v>
      </c>
      <c r="C23">
        <f t="shared" si="0"/>
        <v>1.0376650407443642</v>
      </c>
      <c r="D23">
        <f t="shared" si="1"/>
        <v>2.0001824886848278</v>
      </c>
      <c r="E23">
        <f t="shared" si="2"/>
        <v>43.041497303125752</v>
      </c>
      <c r="F23" s="2">
        <f t="shared" si="3"/>
        <v>838.59487844487307</v>
      </c>
      <c r="G23" s="3">
        <f t="shared" si="4"/>
        <v>838.01580839093572</v>
      </c>
      <c r="H23" s="3">
        <f t="shared" si="5"/>
        <v>-57.907005393735744</v>
      </c>
      <c r="I23" s="3">
        <f t="shared" si="6"/>
        <v>826.47640731218632</v>
      </c>
      <c r="J23" s="3">
        <f t="shared" si="7"/>
        <v>-1211.847113268675</v>
      </c>
      <c r="K23" s="3">
        <f>D23-J23*$F$1</f>
        <v>2.1213672000116954</v>
      </c>
      <c r="L23" s="3">
        <f>C23-H23*$F$1</f>
        <v>1.0434557412837377</v>
      </c>
      <c r="M23">
        <v>1</v>
      </c>
      <c r="N23" s="8">
        <v>2.4</v>
      </c>
      <c r="O23" s="4">
        <f>N23*A23+M23</f>
        <v>51.4</v>
      </c>
      <c r="P23" s="9">
        <f>(O23-B23)^2</f>
        <v>424.36000000000007</v>
      </c>
      <c r="Q23">
        <f t="shared" si="14"/>
        <v>2.000248910159478</v>
      </c>
      <c r="R23">
        <f t="shared" si="15"/>
        <v>43.005227113349036</v>
      </c>
      <c r="S23" s="2">
        <f t="shared" si="16"/>
        <v>840.69685474846983</v>
      </c>
      <c r="T23" s="3">
        <f t="shared" si="17"/>
        <v>828.56315013607639</v>
      </c>
      <c r="U23" s="3">
        <f t="shared" si="18"/>
        <v>-1213.3704612393444</v>
      </c>
      <c r="V23" s="3">
        <f t="shared" si="19"/>
        <v>2.1215859562834125</v>
      </c>
    </row>
    <row r="24" spans="1:22" x14ac:dyDescent="0.2">
      <c r="A24">
        <v>28</v>
      </c>
      <c r="B24">
        <v>86</v>
      </c>
      <c r="C24">
        <f t="shared" si="0"/>
        <v>1.0434557412837377</v>
      </c>
      <c r="D24">
        <f t="shared" si="1"/>
        <v>2.1213672000116954</v>
      </c>
      <c r="E24">
        <f t="shared" si="2"/>
        <v>60.441737341611208</v>
      </c>
      <c r="F24" s="2">
        <f t="shared" si="3"/>
        <v>653.2247901151909</v>
      </c>
      <c r="G24" s="3">
        <f t="shared" si="4"/>
        <v>652.71372486202324</v>
      </c>
      <c r="H24" s="3">
        <f t="shared" si="5"/>
        <v>-51.106525316765783</v>
      </c>
      <c r="I24" s="3">
        <f t="shared" si="6"/>
        <v>638.99056302649342</v>
      </c>
      <c r="J24" s="3">
        <f t="shared" si="7"/>
        <v>-1423.422708869748</v>
      </c>
      <c r="K24" s="3">
        <f>D24-J24*$F$1</f>
        <v>2.2637094708986703</v>
      </c>
      <c r="L24" s="3">
        <f>C24-H24*$F$1</f>
        <v>1.0485663938154144</v>
      </c>
      <c r="M24">
        <v>1</v>
      </c>
      <c r="N24" s="8">
        <v>2.5</v>
      </c>
      <c r="O24" s="4">
        <f>N24*A24+M24</f>
        <v>71</v>
      </c>
      <c r="P24" s="9">
        <f>(O24-B24)^2</f>
        <v>225</v>
      </c>
      <c r="Q24">
        <f t="shared" si="14"/>
        <v>2.1215859562834125</v>
      </c>
      <c r="R24">
        <f t="shared" si="15"/>
        <v>60.404406775935549</v>
      </c>
      <c r="S24" s="2">
        <f t="shared" si="16"/>
        <v>655.13439249177407</v>
      </c>
      <c r="T24" s="3">
        <f t="shared" si="17"/>
        <v>640.87926028629829</v>
      </c>
      <c r="U24" s="3">
        <f t="shared" si="18"/>
        <v>-1425.5132205475775</v>
      </c>
      <c r="V24" s="3">
        <f t="shared" si="19"/>
        <v>2.2641372783381701</v>
      </c>
    </row>
    <row r="25" spans="1:22" x14ac:dyDescent="0.2">
      <c r="A25">
        <v>20</v>
      </c>
      <c r="B25">
        <v>70</v>
      </c>
      <c r="C25">
        <f t="shared" si="0"/>
        <v>1.0485663938154144</v>
      </c>
      <c r="D25">
        <f t="shared" si="1"/>
        <v>2.2637094708986703</v>
      </c>
      <c r="E25">
        <f t="shared" si="2"/>
        <v>46.322755811788817</v>
      </c>
      <c r="F25" s="2">
        <f t="shared" si="3"/>
        <v>560.61189234818028</v>
      </c>
      <c r="G25" s="3">
        <f t="shared" si="4"/>
        <v>560.13844746441612</v>
      </c>
      <c r="H25" s="3">
        <f t="shared" si="5"/>
        <v>-47.344488376415939</v>
      </c>
      <c r="I25" s="3">
        <f t="shared" si="6"/>
        <v>551.18099467289596</v>
      </c>
      <c r="J25" s="3">
        <f t="shared" si="7"/>
        <v>-943.08976752843137</v>
      </c>
      <c r="K25" s="3">
        <f>D25-J25*$F$1</f>
        <v>2.3580184476515136</v>
      </c>
      <c r="L25" s="3">
        <f>C25-H25*$F$1</f>
        <v>1.0533008426530559</v>
      </c>
      <c r="M25">
        <v>1</v>
      </c>
      <c r="N25" s="8">
        <v>2.6</v>
      </c>
      <c r="O25" s="4">
        <f>N25*A25+M25</f>
        <v>53</v>
      </c>
      <c r="P25" s="9">
        <f>(O25-B25)^2</f>
        <v>289</v>
      </c>
      <c r="Q25">
        <f t="shared" si="14"/>
        <v>2.2641372783381701</v>
      </c>
      <c r="R25">
        <f t="shared" si="15"/>
        <v>46.282745566763403</v>
      </c>
      <c r="S25" s="2">
        <f t="shared" si="16"/>
        <v>562.50815785088105</v>
      </c>
      <c r="T25" s="3">
        <f t="shared" si="17"/>
        <v>553.06125607758656</v>
      </c>
      <c r="U25" s="3">
        <f t="shared" si="18"/>
        <v>-944.69017732944849</v>
      </c>
      <c r="V25" s="3">
        <f t="shared" si="19"/>
        <v>2.3586062960711152</v>
      </c>
    </row>
    <row r="26" spans="1:22" x14ac:dyDescent="0.2">
      <c r="A26">
        <v>8</v>
      </c>
      <c r="B26">
        <v>46</v>
      </c>
      <c r="C26">
        <f t="shared" si="0"/>
        <v>1.0533008426530559</v>
      </c>
      <c r="D26">
        <f t="shared" si="1"/>
        <v>2.3580184476515136</v>
      </c>
      <c r="E26">
        <f t="shared" si="2"/>
        <v>19.917448423865164</v>
      </c>
      <c r="F26" s="2">
        <f t="shared" si="3"/>
        <v>680.29949672173382</v>
      </c>
      <c r="G26" s="3">
        <f t="shared" si="4"/>
        <v>679.77794569021103</v>
      </c>
      <c r="H26" s="3">
        <f t="shared" si="5"/>
        <v>-52.155103152279025</v>
      </c>
      <c r="I26" s="3">
        <f t="shared" si="6"/>
        <v>676.13268846955236</v>
      </c>
      <c r="J26" s="3">
        <f t="shared" si="7"/>
        <v>-416.6808252181454</v>
      </c>
      <c r="K26" s="3">
        <f>D26-J26*$F$1</f>
        <v>2.3996865301733283</v>
      </c>
      <c r="L26" s="3">
        <f>C26-H26*$F$1</f>
        <v>1.0585163529682837</v>
      </c>
      <c r="M26">
        <v>1</v>
      </c>
      <c r="N26" s="8">
        <v>2.7</v>
      </c>
      <c r="O26" s="4">
        <f>N26*A26+M26</f>
        <v>22.6</v>
      </c>
      <c r="P26" s="9">
        <f>(O26-B26)^2</f>
        <v>547.55999999999995</v>
      </c>
      <c r="Q26">
        <f t="shared" si="14"/>
        <v>2.3586062960711152</v>
      </c>
      <c r="R26">
        <f t="shared" si="15"/>
        <v>19.868850368568921</v>
      </c>
      <c r="S26" s="2">
        <f t="shared" si="16"/>
        <v>682.83698106024065</v>
      </c>
      <c r="T26" s="3">
        <f t="shared" si="17"/>
        <v>678.66239711921173</v>
      </c>
      <c r="U26" s="3">
        <f t="shared" si="18"/>
        <v>-417.45839410289136</v>
      </c>
      <c r="V26" s="3">
        <f t="shared" si="19"/>
        <v>2.4003521354814041</v>
      </c>
    </row>
    <row r="27" spans="1:22" x14ac:dyDescent="0.2">
      <c r="A27">
        <v>64</v>
      </c>
      <c r="B27">
        <v>158</v>
      </c>
      <c r="C27">
        <f t="shared" si="0"/>
        <v>1.0585163529682837</v>
      </c>
      <c r="D27">
        <f t="shared" si="1"/>
        <v>2.3996865301733283</v>
      </c>
      <c r="E27">
        <f t="shared" si="2"/>
        <v>154.63845428406131</v>
      </c>
      <c r="F27" s="2">
        <f t="shared" si="3"/>
        <v>11.299989600345755</v>
      </c>
      <c r="G27" s="3">
        <f t="shared" si="4"/>
        <v>11.232858686027042</v>
      </c>
      <c r="H27" s="3">
        <f t="shared" si="5"/>
        <v>-6.7130914318713764</v>
      </c>
      <c r="I27" s="3">
        <f t="shared" si="6"/>
        <v>7.4068110839443069</v>
      </c>
      <c r="J27" s="3">
        <f t="shared" si="7"/>
        <v>-389.31785164014485</v>
      </c>
      <c r="K27" s="3">
        <f>D27-J27*$F$1</f>
        <v>2.4386183153373429</v>
      </c>
      <c r="L27" s="3">
        <f>C27-H27*$F$1</f>
        <v>1.0591876621114709</v>
      </c>
      <c r="M27">
        <v>1</v>
      </c>
      <c r="N27" s="8">
        <v>2.8</v>
      </c>
      <c r="O27" s="4">
        <f>N27*A27+M27</f>
        <v>180.2</v>
      </c>
      <c r="P27" s="9">
        <f>(O27-B27)^2</f>
        <v>492.83999999999952</v>
      </c>
      <c r="Q27">
        <f t="shared" si="14"/>
        <v>2.4003521354814041</v>
      </c>
      <c r="R27">
        <f t="shared" si="15"/>
        <v>154.62253667080986</v>
      </c>
      <c r="S27" s="2">
        <f t="shared" si="16"/>
        <v>11.407258540024111</v>
      </c>
      <c r="T27" s="3">
        <f t="shared" si="17"/>
        <v>7.4937054786608135</v>
      </c>
      <c r="U27" s="3">
        <f t="shared" si="18"/>
        <v>-391.35530613632977</v>
      </c>
      <c r="V27" s="3">
        <f t="shared" si="19"/>
        <v>2.4394876660950371</v>
      </c>
    </row>
    <row r="28" spans="1:22" x14ac:dyDescent="0.2">
      <c r="A28">
        <v>99</v>
      </c>
      <c r="B28">
        <v>228</v>
      </c>
      <c r="C28">
        <f t="shared" si="0"/>
        <v>1.0591876621114709</v>
      </c>
      <c r="D28">
        <f t="shared" si="1"/>
        <v>2.4386183153373429</v>
      </c>
      <c r="E28">
        <f t="shared" si="2"/>
        <v>242.48240088050841</v>
      </c>
      <c r="F28" s="2">
        <f t="shared" si="3"/>
        <v>209.73993526375071</v>
      </c>
      <c r="G28" s="3">
        <f t="shared" si="4"/>
        <v>210.0296832813606</v>
      </c>
      <c r="H28" s="3">
        <f t="shared" si="5"/>
        <v>28.974801760989521</v>
      </c>
      <c r="I28" s="3">
        <f t="shared" si="6"/>
        <v>239.39518900715674</v>
      </c>
      <c r="J28" s="3">
        <f t="shared" si="7"/>
        <v>2965.5253743406033</v>
      </c>
      <c r="K28" s="3">
        <f>D28-J28*$F$1</f>
        <v>2.1420657779032823</v>
      </c>
      <c r="L28" s="3">
        <f>C28-H28*$F$1</f>
        <v>1.0562901819353718</v>
      </c>
      <c r="M28">
        <v>1</v>
      </c>
      <c r="N28" s="8">
        <v>2.9</v>
      </c>
      <c r="O28" s="4">
        <f>N28*A28+M28</f>
        <v>288.09999999999997</v>
      </c>
      <c r="P28" s="9">
        <f>(O28-B28)^2</f>
        <v>3612.0099999999961</v>
      </c>
      <c r="Q28">
        <f t="shared" si="14"/>
        <v>2.4394876660950371</v>
      </c>
      <c r="R28">
        <f t="shared" si="15"/>
        <v>242.50927894340867</v>
      </c>
      <c r="S28" s="2">
        <f t="shared" si="16"/>
        <v>210.51917545764232</v>
      </c>
      <c r="T28" s="3">
        <f t="shared" si="17"/>
        <v>240.22764776559089</v>
      </c>
      <c r="U28" s="3">
        <f t="shared" si="18"/>
        <v>2970.8472307948568</v>
      </c>
      <c r="V28" s="3">
        <f t="shared" si="19"/>
        <v>2.1424029430155516</v>
      </c>
    </row>
    <row r="29" spans="1:22" x14ac:dyDescent="0.2">
      <c r="A29">
        <v>70</v>
      </c>
      <c r="B29">
        <v>170</v>
      </c>
      <c r="C29">
        <f t="shared" si="0"/>
        <v>1.0562901819353718</v>
      </c>
      <c r="D29">
        <f t="shared" si="1"/>
        <v>2.1420657779032823</v>
      </c>
      <c r="E29">
        <f t="shared" si="2"/>
        <v>151.00089463516514</v>
      </c>
      <c r="F29" s="2">
        <f t="shared" si="3"/>
        <v>360.96600466409683</v>
      </c>
      <c r="G29" s="3">
        <f t="shared" si="4"/>
        <v>360.58612255680043</v>
      </c>
      <c r="H29" s="3">
        <f t="shared" si="5"/>
        <v>-37.988210729639604</v>
      </c>
      <c r="I29" s="3">
        <f t="shared" si="6"/>
        <v>334.85725715332842</v>
      </c>
      <c r="J29" s="3">
        <f t="shared" si="7"/>
        <v>-2610.8747510768408</v>
      </c>
      <c r="K29" s="3">
        <f>D29-J29*$F$1</f>
        <v>2.4031532530109665</v>
      </c>
      <c r="L29" s="3">
        <f>C29-H29*$F$1</f>
        <v>1.0600890030083359</v>
      </c>
      <c r="M29">
        <v>1</v>
      </c>
      <c r="N29" s="8">
        <v>3</v>
      </c>
      <c r="O29" s="4">
        <f>N29*A29+M29</f>
        <v>211</v>
      </c>
      <c r="P29" s="9">
        <f>(O29-B29)^2</f>
        <v>1681</v>
      </c>
      <c r="Q29">
        <f t="shared" si="14"/>
        <v>2.1424029430155516</v>
      </c>
      <c r="R29">
        <f t="shared" si="15"/>
        <v>150.9682060110886</v>
      </c>
      <c r="S29" s="2">
        <f t="shared" si="16"/>
        <v>362.20918243636419</v>
      </c>
      <c r="T29" s="3">
        <f t="shared" si="17"/>
        <v>336.05467085188866</v>
      </c>
      <c r="U29" s="3">
        <f t="shared" si="18"/>
        <v>-2615.4511584475526</v>
      </c>
      <c r="V29" s="3">
        <f t="shared" si="19"/>
        <v>2.4039480588603066</v>
      </c>
    </row>
    <row r="30" spans="1:22" x14ac:dyDescent="0.2">
      <c r="A30">
        <v>27</v>
      </c>
      <c r="B30">
        <v>84</v>
      </c>
      <c r="C30">
        <f t="shared" si="0"/>
        <v>1.0600890030083359</v>
      </c>
      <c r="D30">
        <f t="shared" si="1"/>
        <v>2.4031532530109665</v>
      </c>
      <c r="E30">
        <f t="shared" si="2"/>
        <v>65.945226834304421</v>
      </c>
      <c r="F30" s="2">
        <f t="shared" si="3"/>
        <v>325.97483406472116</v>
      </c>
      <c r="G30" s="3">
        <f t="shared" si="4"/>
        <v>325.61383860140705</v>
      </c>
      <c r="H30" s="3">
        <f t="shared" si="5"/>
        <v>-36.099546331411148</v>
      </c>
      <c r="I30" s="3">
        <f t="shared" si="6"/>
        <v>316.29815655524567</v>
      </c>
      <c r="J30" s="3">
        <f t="shared" si="7"/>
        <v>-967.66775094754962</v>
      </c>
      <c r="K30" s="3">
        <f>D30-J30*$F$1</f>
        <v>2.4999200281057217</v>
      </c>
      <c r="L30" s="3">
        <f>C30-H30*$F$1</f>
        <v>1.063698957641477</v>
      </c>
      <c r="M30">
        <v>1</v>
      </c>
      <c r="N30" s="8">
        <v>3.1</v>
      </c>
      <c r="O30" s="4">
        <f>N30*A30+M30</f>
        <v>84.7</v>
      </c>
      <c r="P30" s="9">
        <f>(O30-B30)^2</f>
        <v>0.49000000000000399</v>
      </c>
      <c r="Q30">
        <f t="shared" si="14"/>
        <v>2.4039480588603066</v>
      </c>
      <c r="R30">
        <f t="shared" si="15"/>
        <v>65.906597589228284</v>
      </c>
      <c r="S30" s="2">
        <f t="shared" si="16"/>
        <v>327.37121079811976</v>
      </c>
      <c r="T30" s="3">
        <f t="shared" si="17"/>
        <v>317.67367349630371</v>
      </c>
      <c r="U30" s="3">
        <f t="shared" si="18"/>
        <v>-969.75373018160553</v>
      </c>
      <c r="V30" s="3">
        <f t="shared" si="19"/>
        <v>2.500923431878467</v>
      </c>
    </row>
    <row r="31" spans="1:22" x14ac:dyDescent="0.2">
      <c r="A31">
        <v>17</v>
      </c>
      <c r="B31">
        <v>64</v>
      </c>
      <c r="C31">
        <f t="shared" si="0"/>
        <v>1.063698957641477</v>
      </c>
      <c r="D31">
        <f t="shared" si="1"/>
        <v>2.4999200281057217</v>
      </c>
      <c r="E31">
        <f t="shared" si="2"/>
        <v>43.562339435438744</v>
      </c>
      <c r="F31" s="2">
        <f t="shared" si="3"/>
        <v>417.69796935222229</v>
      </c>
      <c r="G31" s="3">
        <f t="shared" si="4"/>
        <v>417.28931614093113</v>
      </c>
      <c r="H31" s="3">
        <f t="shared" si="5"/>
        <v>-40.865321129115273</v>
      </c>
      <c r="I31" s="3">
        <f t="shared" si="6"/>
        <v>410.77806476027143</v>
      </c>
      <c r="J31" s="3">
        <f t="shared" si="7"/>
        <v>-691.99045919508535</v>
      </c>
      <c r="K31" s="3">
        <f>D31-J31*$F$1</f>
        <v>2.5691190740252301</v>
      </c>
      <c r="L31" s="3">
        <f>C31-H31*$F$1</f>
        <v>1.0677854897543886</v>
      </c>
      <c r="M31">
        <v>1</v>
      </c>
      <c r="N31" s="8">
        <v>3.2</v>
      </c>
      <c r="O31" s="4">
        <f>N31*A31+M31</f>
        <v>55.400000000000006</v>
      </c>
      <c r="P31" s="9">
        <f>(O31-B31)^2</f>
        <v>73.959999999999908</v>
      </c>
      <c r="Q31">
        <f t="shared" si="14"/>
        <v>2.500923431878467</v>
      </c>
      <c r="R31">
        <f t="shared" si="15"/>
        <v>43.515698341933941</v>
      </c>
      <c r="S31" s="2">
        <f t="shared" si="16"/>
        <v>419.60661441864789</v>
      </c>
      <c r="T31" s="3">
        <f t="shared" si="17"/>
        <v>412.67085185490566</v>
      </c>
      <c r="U31" s="3">
        <f t="shared" si="18"/>
        <v>-693.57625637422302</v>
      </c>
      <c r="V31" s="3">
        <f t="shared" si="19"/>
        <v>2.5702810575158894</v>
      </c>
    </row>
    <row r="32" spans="1:22" ht="16" thickBot="1" x14ac:dyDescent="0.25">
      <c r="A32">
        <v>8</v>
      </c>
      <c r="B32">
        <v>46</v>
      </c>
      <c r="C32">
        <f t="shared" si="0"/>
        <v>1.0677854897543886</v>
      </c>
      <c r="D32">
        <f t="shared" si="1"/>
        <v>2.5691190740252301</v>
      </c>
      <c r="E32">
        <f t="shared" si="2"/>
        <v>21.62073808195623</v>
      </c>
      <c r="F32" s="2">
        <f t="shared" si="3"/>
        <v>594.34841166857927</v>
      </c>
      <c r="G32" s="3">
        <f t="shared" si="4"/>
        <v>593.86092643021823</v>
      </c>
      <c r="H32" s="3">
        <f t="shared" si="5"/>
        <v>-48.748523836104596</v>
      </c>
      <c r="I32" s="3">
        <f t="shared" si="6"/>
        <v>590.45412976169234</v>
      </c>
      <c r="J32" s="3">
        <f t="shared" si="7"/>
        <v>-389.42819068869312</v>
      </c>
      <c r="K32" s="3">
        <f>D32-J32*$F$1</f>
        <v>2.6080618930940993</v>
      </c>
      <c r="L32" s="3">
        <f>C32-H32*$F$1</f>
        <v>1.072660342137999</v>
      </c>
      <c r="M32">
        <v>1</v>
      </c>
      <c r="N32" s="10">
        <v>3.3</v>
      </c>
      <c r="O32" s="11">
        <f>N32*A32+M32</f>
        <v>27.4</v>
      </c>
      <c r="P32" s="12">
        <f>(O32-B32)^2</f>
        <v>345.96000000000004</v>
      </c>
      <c r="Q32">
        <f t="shared" si="14"/>
        <v>2.5702810575158894</v>
      </c>
      <c r="R32">
        <f t="shared" si="15"/>
        <v>21.562248460127115</v>
      </c>
      <c r="S32" s="2">
        <f t="shared" si="16"/>
        <v>597.20370032455958</v>
      </c>
      <c r="T32" s="3">
        <f t="shared" si="17"/>
        <v>593.30006007817997</v>
      </c>
      <c r="U32" s="3">
        <f t="shared" si="18"/>
        <v>-390.36402463796094</v>
      </c>
      <c r="V32" s="3">
        <f t="shared" si="19"/>
        <v>2.6093174599796853</v>
      </c>
    </row>
    <row r="33" spans="3:6" ht="16" thickTop="1" x14ac:dyDescent="0.2">
      <c r="E33" t="s">
        <v>20</v>
      </c>
      <c r="F33" s="2">
        <f>SQRT(SUM(F4:F32))</f>
        <v>150.70215194390218</v>
      </c>
    </row>
    <row r="36" spans="3:6" x14ac:dyDescent="0.2">
      <c r="C36" t="s">
        <v>21</v>
      </c>
    </row>
    <row r="37" spans="3:6" x14ac:dyDescent="0.2">
      <c r="C37" t="s">
        <v>20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asic1.somesteps">
                <anchor moveWithCells="1">
                  <from>
                    <xdr:col>0</xdr:col>
                    <xdr:colOff>0</xdr:colOff>
                    <xdr:row>1</xdr:row>
                    <xdr:rowOff>12700</xdr:rowOff>
                  </from>
                  <to>
                    <xdr:col>0</xdr:col>
                    <xdr:colOff>508000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basic1.reset">
                <anchor moveWithCells="1">
                  <from>
                    <xdr:col>0</xdr:col>
                    <xdr:colOff>0</xdr:colOff>
                    <xdr:row>0</xdr:row>
                    <xdr:rowOff>25400</xdr:rowOff>
                  </from>
                  <to>
                    <xdr:col>0</xdr:col>
                    <xdr:colOff>508000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B78CBC-53CE-3942-AFD4-23938DD808F8}">
  <sheetPr codeName="Sheet1"/>
  <dimension ref="A1:Y40"/>
  <sheetViews>
    <sheetView zoomScale="80" zoomScaleNormal="80" workbookViewId="0">
      <pane ySplit="6" topLeftCell="A7" activePane="bottomLeft" state="frozen"/>
      <selection pane="bottomLeft" activeCell="H3" sqref="H3"/>
    </sheetView>
  </sheetViews>
  <sheetFormatPr baseColWidth="10" defaultColWidth="8.83203125" defaultRowHeight="15" x14ac:dyDescent="0.2"/>
  <cols>
    <col min="1" max="1" width="13.6640625" customWidth="1"/>
    <col min="2" max="2" width="13.83203125" customWidth="1"/>
    <col min="3" max="3" width="9.6640625" customWidth="1"/>
    <col min="4" max="4" width="7" customWidth="1"/>
    <col min="5" max="5" width="9.1640625" bestFit="1" customWidth="1"/>
    <col min="6" max="6" width="12.5" bestFit="1" customWidth="1"/>
    <col min="7" max="7" width="16.6640625" customWidth="1"/>
    <col min="8" max="8" width="20.5" customWidth="1"/>
    <col min="9" max="9" width="84.1640625" hidden="1" customWidth="1"/>
    <col min="10" max="10" width="14" customWidth="1"/>
    <col min="11" max="11" width="21.6640625" customWidth="1"/>
    <col min="12" max="12" width="9.5" hidden="1" customWidth="1"/>
    <col min="13" max="13" width="22" customWidth="1"/>
    <col min="14" max="14" width="11.83203125" hidden="1" customWidth="1"/>
    <col min="15" max="15" width="22.83203125" customWidth="1"/>
    <col min="16" max="16" width="13.1640625" hidden="1" customWidth="1"/>
    <col min="17" max="17" width="8.6640625" customWidth="1"/>
    <col min="18" max="18" width="7.5" customWidth="1"/>
    <col min="19" max="19" width="9" customWidth="1"/>
    <col min="20" max="20" width="8.5" customWidth="1"/>
    <col min="21" max="21" width="10.33203125" customWidth="1"/>
    <col min="22" max="22" width="12.33203125" customWidth="1"/>
    <col min="23" max="23" width="59.5" customWidth="1"/>
    <col min="24" max="24" width="92" customWidth="1"/>
    <col min="25" max="25" width="91.5" bestFit="1" customWidth="1"/>
  </cols>
  <sheetData>
    <row r="1" spans="1:25" ht="17.5" customHeight="1" x14ac:dyDescent="0.2">
      <c r="B1" t="s">
        <v>26</v>
      </c>
      <c r="C1">
        <v>1</v>
      </c>
      <c r="D1">
        <v>10</v>
      </c>
      <c r="G1" t="s">
        <v>1</v>
      </c>
      <c r="H1">
        <v>1E-4</v>
      </c>
      <c r="J1" t="s">
        <v>27</v>
      </c>
      <c r="K1" s="13" t="s">
        <v>28</v>
      </c>
      <c r="L1" t="s">
        <v>29</v>
      </c>
      <c r="Y1" t="s">
        <v>2</v>
      </c>
    </row>
    <row r="2" spans="1:25" ht="17.5" customHeight="1" x14ac:dyDescent="0.2">
      <c r="B2" t="s">
        <v>30</v>
      </c>
      <c r="C2">
        <v>1</v>
      </c>
      <c r="D2">
        <v>1</v>
      </c>
      <c r="J2" t="s">
        <v>31</v>
      </c>
      <c r="K2" t="s">
        <v>32</v>
      </c>
      <c r="L2" t="s">
        <v>33</v>
      </c>
      <c r="X2" t="s">
        <v>5</v>
      </c>
    </row>
    <row r="3" spans="1:25" ht="17.5" customHeight="1" x14ac:dyDescent="0.2"/>
    <row r="4" spans="1:25" ht="17.5" customHeight="1" x14ac:dyDescent="0.2"/>
    <row r="5" spans="1:25" ht="17.5" customHeight="1" x14ac:dyDescent="0.2">
      <c r="B5" t="s">
        <v>32</v>
      </c>
      <c r="G5" s="13" t="s">
        <v>28</v>
      </c>
      <c r="H5" t="s">
        <v>34</v>
      </c>
      <c r="I5" t="s">
        <v>35</v>
      </c>
      <c r="K5" t="s">
        <v>36</v>
      </c>
      <c r="M5" t="s">
        <v>37</v>
      </c>
      <c r="O5" t="s">
        <v>38</v>
      </c>
      <c r="U5" t="s">
        <v>39</v>
      </c>
      <c r="V5" t="s">
        <v>40</v>
      </c>
    </row>
    <row r="6" spans="1:25" s="1" customFormat="1" x14ac:dyDescent="0.2">
      <c r="A6" s="1" t="s">
        <v>6</v>
      </c>
      <c r="B6" s="1" t="s">
        <v>7</v>
      </c>
      <c r="C6" s="1" t="s">
        <v>41</v>
      </c>
      <c r="D6" s="1" t="s">
        <v>9</v>
      </c>
      <c r="E6" s="1" t="s">
        <v>42</v>
      </c>
      <c r="F6" s="1" t="s">
        <v>43</v>
      </c>
      <c r="G6" s="1" t="s">
        <v>10</v>
      </c>
      <c r="H6" s="1" t="s">
        <v>11</v>
      </c>
      <c r="I6" s="1" t="s">
        <v>12</v>
      </c>
      <c r="J6" s="1" t="s">
        <v>13</v>
      </c>
      <c r="K6" s="1" t="s">
        <v>14</v>
      </c>
      <c r="L6" s="1" t="s">
        <v>15</v>
      </c>
      <c r="M6" s="1" t="s">
        <v>44</v>
      </c>
      <c r="N6" s="1" t="s">
        <v>45</v>
      </c>
      <c r="O6" s="1" t="s">
        <v>46</v>
      </c>
      <c r="P6" s="1" t="s">
        <v>47</v>
      </c>
      <c r="Q6" s="1" t="s">
        <v>18</v>
      </c>
      <c r="R6" s="1" t="s">
        <v>19</v>
      </c>
      <c r="S6" s="1" t="s">
        <v>48</v>
      </c>
      <c r="T6" s="1" t="s">
        <v>49</v>
      </c>
      <c r="U6" s="1" t="s">
        <v>50</v>
      </c>
      <c r="V6" s="1" t="s">
        <v>51</v>
      </c>
      <c r="X6" s="1" t="s">
        <v>16</v>
      </c>
      <c r="Y6" s="1" t="s">
        <v>17</v>
      </c>
    </row>
    <row r="7" spans="1:25" x14ac:dyDescent="0.2">
      <c r="A7">
        <v>14</v>
      </c>
      <c r="B7">
        <v>58</v>
      </c>
      <c r="C7">
        <f>C1</f>
        <v>1</v>
      </c>
      <c r="D7">
        <f>C2</f>
        <v>1</v>
      </c>
      <c r="E7">
        <f>const2</f>
        <v>10</v>
      </c>
      <c r="F7">
        <f>slope2</f>
        <v>1</v>
      </c>
      <c r="G7">
        <f>(D7*A7+C7)*F7+E7</f>
        <v>25</v>
      </c>
      <c r="H7" s="2">
        <f>(B7-G7)^2</f>
        <v>1089</v>
      </c>
      <c r="I7" s="3">
        <f>((D7*A7+(C7+0.01))*F7+E7-B7)^2</f>
        <v>1088.3401000000001</v>
      </c>
      <c r="J7" s="3">
        <f>(I7-H7)/0.01</f>
        <v>-65.989999999987958</v>
      </c>
      <c r="K7" s="3">
        <f>(((D7+0.01)*A7+C7)*F7+E7-B7)^2</f>
        <v>1079.7796000000001</v>
      </c>
      <c r="L7" s="3">
        <f>(K7-H7)/0.01</f>
        <v>-922.03999999999269</v>
      </c>
      <c r="M7">
        <f>((D7*A7+C7)*F7+(E7+0.01)-B7)^2</f>
        <v>1088.3401000000001</v>
      </c>
      <c r="N7">
        <f>(M7-H7)/0.01</f>
        <v>-65.989999999987958</v>
      </c>
      <c r="O7">
        <f>((D7*A7+C7)*(F7+0.01)+E7-B7)^2</f>
        <v>1079.1225000000002</v>
      </c>
      <c r="P7">
        <f>(O7-H7)/0.01</f>
        <v>-987.74999999998272</v>
      </c>
      <c r="Q7" s="3">
        <f>D7-L7*$H$1</f>
        <v>1.0922039999999993</v>
      </c>
      <c r="R7" s="3">
        <f>C7-J7*$H$1</f>
        <v>1.0065989999999987</v>
      </c>
      <c r="S7">
        <f>F7-P7*$H$1</f>
        <v>1.0987749999999983</v>
      </c>
      <c r="T7">
        <f>E7-N7*$H$1</f>
        <v>10.006599</v>
      </c>
      <c r="U7">
        <f>Q7*S7</f>
        <v>1.2000864500999973</v>
      </c>
      <c r="V7">
        <f>S7*R7+T7</f>
        <v>11.112624816224997</v>
      </c>
      <c r="X7" s="3">
        <f t="shared" ref="X7:X35" si="0">2*(G7-B7)</f>
        <v>-66</v>
      </c>
      <c r="Y7" s="3">
        <f t="shared" ref="Y7:Y35" si="1">X7*A7</f>
        <v>-924</v>
      </c>
    </row>
    <row r="8" spans="1:25" x14ac:dyDescent="0.2">
      <c r="A8">
        <v>86</v>
      </c>
      <c r="B8">
        <v>202</v>
      </c>
      <c r="C8" s="3">
        <f>R7</f>
        <v>1.0065989999999987</v>
      </c>
      <c r="D8">
        <f>Q7</f>
        <v>1.0922039999999993</v>
      </c>
      <c r="E8">
        <f>T7</f>
        <v>10.006599</v>
      </c>
      <c r="F8">
        <f>S7</f>
        <v>1.0987749999999983</v>
      </c>
      <c r="G8">
        <f>(D8*A8+C8)*F8+E8</f>
        <v>114.32005952482476</v>
      </c>
      <c r="H8" s="2">
        <f>(B8-G8)^2</f>
        <v>7687.7719617302737</v>
      </c>
      <c r="I8" s="3">
        <f>((D8*A8+(C8+0.01))*F8+E8-B8)^2</f>
        <v>7685.8452719290117</v>
      </c>
      <c r="J8" s="3">
        <f>(I8-H8)/0.01</f>
        <v>-192.66898012620004</v>
      </c>
      <c r="K8" s="3">
        <f>(((D8+0.01)*A8+C8)*F8+E8-B8)^2</f>
        <v>7522.9591798736856</v>
      </c>
      <c r="L8" s="3">
        <f>(K8-H8)/0.01</f>
        <v>-16481.278185658812</v>
      </c>
      <c r="M8">
        <f>((D8*A8+C8)*F8+(E8+0.01)-B8)^2</f>
        <v>7686.0184629207697</v>
      </c>
      <c r="N8">
        <f>(M8-H8)/0.01</f>
        <v>-175.34988095039807</v>
      </c>
      <c r="O8">
        <f>((D8*A8+C8)*(F8+0.01)+E8-B8)^2</f>
        <v>7522.1933415113917</v>
      </c>
      <c r="P8">
        <f>(O8-H8)/0.01</f>
        <v>-16557.862021888195</v>
      </c>
      <c r="Q8" s="3">
        <f>D8-L8*$H$1</f>
        <v>2.7403318185658803</v>
      </c>
      <c r="R8" s="3">
        <f>C8-J8*$H$1</f>
        <v>1.0258658980126187</v>
      </c>
      <c r="S8">
        <f>F8-P8*$H$1</f>
        <v>2.7545612021888179</v>
      </c>
      <c r="T8">
        <f>E8-N8*$H$1</f>
        <v>10.02413398809504</v>
      </c>
      <c r="U8">
        <f t="shared" ref="U8:U35" si="2">Q8*S8</f>
        <v>7.5484117085451006</v>
      </c>
      <c r="V8">
        <f t="shared" ref="V8:V35" si="3">S8*R8+T8</f>
        <v>12.84994438940919</v>
      </c>
      <c r="X8" s="3">
        <f t="shared" si="0"/>
        <v>-175.35988095035049</v>
      </c>
      <c r="Y8" s="3">
        <f t="shared" si="1"/>
        <v>-15080.949761730142</v>
      </c>
    </row>
    <row r="9" spans="1:25" x14ac:dyDescent="0.2">
      <c r="A9">
        <v>28</v>
      </c>
      <c r="B9">
        <v>86</v>
      </c>
      <c r="C9" s="3">
        <f t="shared" ref="C9:C35" si="4">R8</f>
        <v>1.0258658980126187</v>
      </c>
      <c r="D9">
        <f t="shared" ref="D9:D10" si="5">Q8</f>
        <v>2.7403318185658803</v>
      </c>
      <c r="E9">
        <f t="shared" ref="E9:E10" si="6">T8</f>
        <v>10.02413398809504</v>
      </c>
      <c r="F9">
        <f t="shared" ref="F9:F10" si="7">S8</f>
        <v>2.7545612021888179</v>
      </c>
      <c r="G9">
        <f t="shared" ref="G9:G10" si="8">(D9*A9+C9)*F9+E9</f>
        <v>224.20547222867202</v>
      </c>
      <c r="H9" s="2">
        <f t="shared" ref="H9:H10" si="9">(B9-G9)^2</f>
        <v>19100.752553950235</v>
      </c>
      <c r="I9" s="3">
        <f t="shared" ref="I9:I10" si="10">((D9*A9+(C9+0.01))*F9+E9-B9)^2</f>
        <v>19108.367221345594</v>
      </c>
      <c r="J9" s="3">
        <f t="shared" ref="J9:J10" si="11">(I9-H9)/0.01</f>
        <v>761.46673953589925</v>
      </c>
      <c r="K9" s="3">
        <f t="shared" ref="K9:K10" si="12">(((D9+0.01)*A9+C9)*F9+E9-B9)^2</f>
        <v>19314.536864141213</v>
      </c>
      <c r="L9" s="3">
        <f t="shared" ref="L9:L10" si="13">(K9-H9)/0.01</f>
        <v>21378.431019097843</v>
      </c>
      <c r="M9">
        <f t="shared" ref="M9:M10" si="14">((D9*A9+C9)*F9+(E9+0.01)-B9)^2</f>
        <v>19103.516763394811</v>
      </c>
      <c r="N9">
        <f t="shared" ref="N9:N10" si="15">(M9-H9)/0.01</f>
        <v>276.42094445764087</v>
      </c>
      <c r="O9">
        <f t="shared" ref="O9:O10" si="16">((D9*A9+C9)*(F9+0.01)+E9-B9)^2</f>
        <v>19316.280903715931</v>
      </c>
      <c r="P9">
        <f t="shared" ref="P9:P10" si="17">(O9-H9)/0.01</f>
        <v>21552.834976569648</v>
      </c>
      <c r="Q9" s="3">
        <f t="shared" ref="Q9:Q10" si="18">D9-L9*$H$1</f>
        <v>0.60248871665609594</v>
      </c>
      <c r="R9" s="3">
        <f t="shared" ref="R9:R10" si="19">C9-J9*$H$1</f>
        <v>0.94971922405902887</v>
      </c>
      <c r="S9">
        <f t="shared" ref="S9:S10" si="20">F9-P9*$H$1</f>
        <v>0.59927770453185314</v>
      </c>
      <c r="T9">
        <f t="shared" ref="T9:T10" si="21">E9-N9*$H$1</f>
        <v>9.9964918936492762</v>
      </c>
      <c r="U9">
        <f t="shared" si="2"/>
        <v>0.36105805512400724</v>
      </c>
      <c r="V9">
        <f t="shared" si="3"/>
        <v>10.565637450193144</v>
      </c>
      <c r="X9" s="3">
        <f t="shared" si="0"/>
        <v>276.41094445734404</v>
      </c>
      <c r="Y9" s="3">
        <f t="shared" si="1"/>
        <v>7739.5064448056328</v>
      </c>
    </row>
    <row r="10" spans="1:25" x14ac:dyDescent="0.2">
      <c r="A10">
        <v>51</v>
      </c>
      <c r="B10">
        <v>132</v>
      </c>
      <c r="C10" s="3">
        <f t="shared" si="4"/>
        <v>0.94971922405902887</v>
      </c>
      <c r="D10">
        <f t="shared" si="5"/>
        <v>0.60248871665609594</v>
      </c>
      <c r="E10">
        <f t="shared" si="6"/>
        <v>9.9964918936492762</v>
      </c>
      <c r="F10">
        <f t="shared" si="7"/>
        <v>0.59927770453185314</v>
      </c>
      <c r="G10">
        <f t="shared" si="8"/>
        <v>28.979598261517509</v>
      </c>
      <c r="H10" s="2">
        <f t="shared" si="9"/>
        <v>10613.203174358327</v>
      </c>
      <c r="I10" s="3">
        <f t="shared" si="10"/>
        <v>10611.968453674226</v>
      </c>
      <c r="J10" s="3">
        <f t="shared" si="11"/>
        <v>-123.47206841004663</v>
      </c>
      <c r="K10" s="3">
        <f t="shared" si="12"/>
        <v>10550.323998579897</v>
      </c>
      <c r="L10" s="3">
        <f t="shared" si="13"/>
        <v>-6287.9175778429271</v>
      </c>
      <c r="M10">
        <f t="shared" si="14"/>
        <v>10611.142866323555</v>
      </c>
      <c r="N10">
        <f t="shared" si="15"/>
        <v>-206.03080347718787</v>
      </c>
      <c r="O10">
        <f t="shared" si="16"/>
        <v>10548.036703988906</v>
      </c>
      <c r="P10">
        <f t="shared" si="17"/>
        <v>-6516.6470369420495</v>
      </c>
      <c r="Q10" s="3">
        <f t="shared" si="18"/>
        <v>1.2312804744403887</v>
      </c>
      <c r="R10" s="3">
        <f t="shared" si="19"/>
        <v>0.96206643090003352</v>
      </c>
      <c r="S10">
        <f t="shared" si="20"/>
        <v>1.2509424082260581</v>
      </c>
      <c r="T10">
        <f t="shared" si="21"/>
        <v>10.017094973996995</v>
      </c>
      <c r="U10">
        <f t="shared" si="2"/>
        <v>1.5402609618981831</v>
      </c>
      <c r="V10">
        <f t="shared" si="3"/>
        <v>11.220584671940532</v>
      </c>
      <c r="X10" s="3">
        <f t="shared" si="0"/>
        <v>-206.04080347696498</v>
      </c>
      <c r="Y10" s="3">
        <f t="shared" si="1"/>
        <v>-10508.080977325215</v>
      </c>
    </row>
    <row r="11" spans="1:25" x14ac:dyDescent="0.2">
      <c r="A11">
        <v>28</v>
      </c>
      <c r="B11">
        <v>86</v>
      </c>
      <c r="C11" s="3">
        <f t="shared" si="4"/>
        <v>0.96206643090003352</v>
      </c>
      <c r="D11">
        <f>Q10</f>
        <v>1.2312804744403887</v>
      </c>
      <c r="E11">
        <f>T10</f>
        <v>10.017094973996995</v>
      </c>
      <c r="F11">
        <f>S10</f>
        <v>1.2509424082260581</v>
      </c>
      <c r="G11">
        <f>(D11*A11+C11)*F11+E11</f>
        <v>54.347891605089657</v>
      </c>
      <c r="H11" s="2">
        <f>(B11-G11)^2</f>
        <v>1001.8559658431537</v>
      </c>
      <c r="I11" s="3">
        <f>((D11*A11+(C11+0.01))*F11+E11-B11)^2</f>
        <v>1001.064223034825</v>
      </c>
      <c r="J11" s="3">
        <f>(I11-H11)/0.01</f>
        <v>-79.17428083287632</v>
      </c>
      <c r="K11" s="3">
        <f>(((D11+0.01)*A11+C11)*F11+E11-B11)^2</f>
        <v>979.80547039225746</v>
      </c>
      <c r="L11" s="3">
        <f>(K11-H11)/0.01</f>
        <v>-2205.0495450896278</v>
      </c>
      <c r="M11">
        <f>((D11*A11+C11)*F11+(E11+0.01)-B11)^2</f>
        <v>1001.2230236752557</v>
      </c>
      <c r="N11">
        <f>(M11-H11)/0.01</f>
        <v>-63.294216789802249</v>
      </c>
      <c r="O11">
        <f>((D11*A11+C11)*(F11+0.01)+E11-B11)^2</f>
        <v>979.54785293619602</v>
      </c>
      <c r="P11">
        <f>(O11-H11)/0.01</f>
        <v>-2230.8112906957717</v>
      </c>
      <c r="Q11" s="3">
        <f>D11-L11*$H$1</f>
        <v>1.4517854289493515</v>
      </c>
      <c r="R11" s="3">
        <f>C11-J11*$H$1</f>
        <v>0.96998385898332118</v>
      </c>
      <c r="S11">
        <f>F11-P11*$H$1</f>
        <v>1.4740235372956352</v>
      </c>
      <c r="T11">
        <f>E11-N11*$H$1</f>
        <v>10.023424395675976</v>
      </c>
      <c r="U11">
        <f t="shared" si="2"/>
        <v>2.1399658933741841</v>
      </c>
      <c r="V11">
        <f t="shared" si="3"/>
        <v>11.453203434614242</v>
      </c>
      <c r="X11" s="3">
        <f t="shared" si="0"/>
        <v>-63.304216789820686</v>
      </c>
      <c r="Y11" s="3">
        <f t="shared" si="1"/>
        <v>-1772.5180701149793</v>
      </c>
    </row>
    <row r="12" spans="1:25" x14ac:dyDescent="0.2">
      <c r="A12">
        <v>29</v>
      </c>
      <c r="B12">
        <v>88</v>
      </c>
      <c r="C12" s="3">
        <f t="shared" si="4"/>
        <v>0.96998385898332118</v>
      </c>
      <c r="D12">
        <f t="shared" ref="D12:D35" si="22">Q11</f>
        <v>1.4517854289493515</v>
      </c>
      <c r="E12">
        <f t="shared" ref="E12:E35" si="23">T11</f>
        <v>10.023424395675976</v>
      </c>
      <c r="F12">
        <f t="shared" ref="F12:F35" si="24">S11</f>
        <v>1.4740235372956352</v>
      </c>
      <c r="G12">
        <f t="shared" ref="G12:G35" si="25">(D12*A12+C12)*F12+E12</f>
        <v>73.512214342465569</v>
      </c>
      <c r="H12" s="2">
        <f t="shared" ref="H12:H35" si="26">(B12-G12)^2</f>
        <v>209.89593325866036</v>
      </c>
      <c r="I12" s="3">
        <f t="shared" ref="I12:I35" si="27">((D12*A12+(C12+0.01))*F12+E12-B12)^2</f>
        <v>209.46904379194885</v>
      </c>
      <c r="J12" s="3">
        <f t="shared" ref="J12:J35" si="28">(I12-H12)/0.01</f>
        <v>-42.688946671151484</v>
      </c>
      <c r="K12" s="3">
        <f t="shared" ref="K12:K35" si="29">(((D12+0.01)*A12+C12)*F12+E12-B12)^2</f>
        <v>197.6925656495828</v>
      </c>
      <c r="L12" s="3">
        <f t="shared" ref="L12:L35" si="30">(K12-H12)/0.01</f>
        <v>-1220.3367609077559</v>
      </c>
      <c r="M12">
        <f t="shared" ref="M12:M35" si="31">((D12*A12+C12)*F12+(E12+0.01)-B12)^2</f>
        <v>209.60627754550953</v>
      </c>
      <c r="N12">
        <f t="shared" ref="N12:N35" si="32">(M12-H12)/0.01</f>
        <v>-28.965571315083594</v>
      </c>
      <c r="O12">
        <f t="shared" ref="O12:O35" si="33">((D12*A12+C12)*(F12+0.01)+E12-B12)^2</f>
        <v>197.6011620090886</v>
      </c>
      <c r="P12">
        <f t="shared" ref="P12:P35" si="34">(O12-H12)/0.01</f>
        <v>-1229.4771249571766</v>
      </c>
      <c r="Q12" s="3">
        <f t="shared" ref="Q12:Q35" si="35">D12-L12*$H$1</f>
        <v>1.5738191050401271</v>
      </c>
      <c r="R12" s="3">
        <f t="shared" ref="R12:R35" si="36">C12-J12*$H$1</f>
        <v>0.97425275365043629</v>
      </c>
      <c r="S12">
        <f t="shared" ref="S12:S35" si="37">F12-P12*$H$1</f>
        <v>1.5969712497913529</v>
      </c>
      <c r="T12">
        <f t="shared" ref="T12:T35" si="38">E12-N12*$H$1</f>
        <v>10.026320952807485</v>
      </c>
      <c r="U12">
        <f t="shared" si="2"/>
        <v>2.5133438631214404</v>
      </c>
      <c r="V12">
        <f t="shared" si="3"/>
        <v>11.582174590417289</v>
      </c>
      <c r="X12" s="3">
        <f t="shared" si="0"/>
        <v>-28.975571315068862</v>
      </c>
      <c r="Y12" s="3">
        <f t="shared" si="1"/>
        <v>-840.29156813699706</v>
      </c>
    </row>
    <row r="13" spans="1:25" x14ac:dyDescent="0.2">
      <c r="A13">
        <v>72</v>
      </c>
      <c r="B13">
        <v>174</v>
      </c>
      <c r="C13" s="3">
        <f t="shared" si="4"/>
        <v>0.97425275365043629</v>
      </c>
      <c r="D13">
        <f t="shared" si="22"/>
        <v>1.5738191050401271</v>
      </c>
      <c r="E13">
        <f t="shared" si="23"/>
        <v>10.026320952807485</v>
      </c>
      <c r="F13">
        <f t="shared" si="24"/>
        <v>1.5969712497913529</v>
      </c>
      <c r="G13">
        <f t="shared" si="25"/>
        <v>192.54293273516097</v>
      </c>
      <c r="H13" s="2">
        <f t="shared" si="26"/>
        <v>343.84035442070444</v>
      </c>
      <c r="I13" s="3">
        <f t="shared" si="27"/>
        <v>344.43286006171877</v>
      </c>
      <c r="J13" s="3">
        <f t="shared" si="28"/>
        <v>59.250564101432701</v>
      </c>
      <c r="K13" s="3">
        <f t="shared" si="29"/>
        <v>387.80448271242028</v>
      </c>
      <c r="L13" s="3">
        <f t="shared" si="30"/>
        <v>4396.4128291715833</v>
      </c>
      <c r="M13">
        <f t="shared" si="31"/>
        <v>344.21131307540736</v>
      </c>
      <c r="N13">
        <f t="shared" si="32"/>
        <v>37.095865470291756</v>
      </c>
      <c r="O13">
        <f t="shared" si="33"/>
        <v>387.53170665216442</v>
      </c>
      <c r="P13">
        <f t="shared" si="34"/>
        <v>4369.1352231459969</v>
      </c>
      <c r="Q13" s="3">
        <f t="shared" si="35"/>
        <v>1.1341778221229688</v>
      </c>
      <c r="R13" s="3">
        <f t="shared" si="36"/>
        <v>0.96832769724029299</v>
      </c>
      <c r="S13">
        <f t="shared" si="37"/>
        <v>1.1600577274767532</v>
      </c>
      <c r="T13">
        <f t="shared" si="38"/>
        <v>10.022611366260456</v>
      </c>
      <c r="U13">
        <f t="shared" si="2"/>
        <v>1.3157117468865043</v>
      </c>
      <c r="V13">
        <f t="shared" si="3"/>
        <v>11.145927394173828</v>
      </c>
      <c r="X13" s="3">
        <f t="shared" si="0"/>
        <v>37.085865470321949</v>
      </c>
      <c r="Y13" s="3">
        <f t="shared" si="1"/>
        <v>2670.1823138631803</v>
      </c>
    </row>
    <row r="14" spans="1:25" x14ac:dyDescent="0.2">
      <c r="A14">
        <v>62</v>
      </c>
      <c r="B14">
        <v>154</v>
      </c>
      <c r="C14" s="3">
        <f t="shared" si="4"/>
        <v>0.96832769724029299</v>
      </c>
      <c r="D14">
        <f t="shared" si="22"/>
        <v>1.1341778221229688</v>
      </c>
      <c r="E14">
        <f t="shared" si="23"/>
        <v>10.022611366260456</v>
      </c>
      <c r="F14">
        <f t="shared" si="24"/>
        <v>1.1600577274767532</v>
      </c>
      <c r="G14">
        <f t="shared" si="25"/>
        <v>92.720055701137085</v>
      </c>
      <c r="H14" s="2">
        <f t="shared" si="26"/>
        <v>3755.2315732717416</v>
      </c>
      <c r="I14" s="3">
        <f t="shared" si="27"/>
        <v>3753.8099423866688</v>
      </c>
      <c r="J14" s="3">
        <f t="shared" si="28"/>
        <v>-142.16308850727728</v>
      </c>
      <c r="K14" s="3">
        <f t="shared" si="29"/>
        <v>3667.5994149700277</v>
      </c>
      <c r="L14" s="3">
        <f t="shared" si="30"/>
        <v>-8763.2158301713844</v>
      </c>
      <c r="M14">
        <f t="shared" si="31"/>
        <v>3754.0060743857634</v>
      </c>
      <c r="N14">
        <f t="shared" si="32"/>
        <v>-122.54988859781406</v>
      </c>
      <c r="O14">
        <f t="shared" si="33"/>
        <v>3668.3700619215638</v>
      </c>
      <c r="P14">
        <f t="shared" si="34"/>
        <v>-8686.1511350177807</v>
      </c>
      <c r="Q14" s="3">
        <f t="shared" si="35"/>
        <v>2.0104994051401075</v>
      </c>
      <c r="R14" s="3">
        <f t="shared" si="36"/>
        <v>0.98254400609102077</v>
      </c>
      <c r="S14">
        <f t="shared" si="37"/>
        <v>2.0286728409785315</v>
      </c>
      <c r="T14">
        <f t="shared" si="38"/>
        <v>10.034866355120238</v>
      </c>
      <c r="U14">
        <f t="shared" si="2"/>
        <v>4.0786455400112294</v>
      </c>
      <c r="V14">
        <f t="shared" si="3"/>
        <v>12.028126695343337</v>
      </c>
      <c r="X14" s="3">
        <f t="shared" si="0"/>
        <v>-122.55988859772583</v>
      </c>
      <c r="Y14" s="3">
        <f t="shared" si="1"/>
        <v>-7598.713093059001</v>
      </c>
    </row>
    <row r="15" spans="1:25" x14ac:dyDescent="0.2">
      <c r="A15">
        <v>84</v>
      </c>
      <c r="B15">
        <v>198</v>
      </c>
      <c r="C15" s="3">
        <f>R14</f>
        <v>0.98254400609102077</v>
      </c>
      <c r="D15">
        <f>Q14</f>
        <v>2.0104994051401075</v>
      </c>
      <c r="E15">
        <f>T14</f>
        <v>10.034866355120238</v>
      </c>
      <c r="F15">
        <f>S14</f>
        <v>2.0286728409785315</v>
      </c>
      <c r="G15">
        <f t="shared" si="25"/>
        <v>354.63435205628662</v>
      </c>
      <c r="H15" s="2">
        <f t="shared" si="26"/>
        <v>24534.320244092738</v>
      </c>
      <c r="I15" s="3">
        <f t="shared" si="27"/>
        <v>24540.675852763696</v>
      </c>
      <c r="J15" s="3">
        <f t="shared" si="28"/>
        <v>635.56086709577357</v>
      </c>
      <c r="K15" s="3">
        <f t="shared" si="29"/>
        <v>25071.060708463156</v>
      </c>
      <c r="L15" s="3">
        <f t="shared" si="30"/>
        <v>53674.046437041761</v>
      </c>
      <c r="M15">
        <f t="shared" si="31"/>
        <v>24537.45303113386</v>
      </c>
      <c r="N15">
        <f t="shared" si="32"/>
        <v>313.27870411223557</v>
      </c>
      <c r="O15">
        <f t="shared" si="33"/>
        <v>25069.337937945991</v>
      </c>
      <c r="P15">
        <f t="shared" si="34"/>
        <v>53501.769385325315</v>
      </c>
      <c r="Q15" s="3">
        <f t="shared" si="35"/>
        <v>-3.3569052385640692</v>
      </c>
      <c r="R15" s="3">
        <f t="shared" si="36"/>
        <v>0.91898791938144342</v>
      </c>
      <c r="S15">
        <f t="shared" si="37"/>
        <v>-3.3215040975540004</v>
      </c>
      <c r="T15">
        <f t="shared" si="38"/>
        <v>10.003538484709015</v>
      </c>
      <c r="U15">
        <f t="shared" si="2"/>
        <v>11.149974504991045</v>
      </c>
      <c r="V15">
        <f t="shared" si="3"/>
        <v>6.9511163448809254</v>
      </c>
      <c r="X15" s="3">
        <f t="shared" si="0"/>
        <v>313.26870411257323</v>
      </c>
      <c r="Y15" s="3">
        <f t="shared" si="1"/>
        <v>26314.571145456153</v>
      </c>
    </row>
    <row r="16" spans="1:25" x14ac:dyDescent="0.2">
      <c r="A16">
        <v>15</v>
      </c>
      <c r="B16">
        <v>60</v>
      </c>
      <c r="C16" s="3">
        <f t="shared" si="4"/>
        <v>0.91898791938144342</v>
      </c>
      <c r="D16">
        <f t="shared" si="22"/>
        <v>-3.3569052385640692</v>
      </c>
      <c r="E16">
        <f t="shared" si="23"/>
        <v>10.003538484709015</v>
      </c>
      <c r="F16">
        <f t="shared" si="24"/>
        <v>-3.3215040975540004</v>
      </c>
      <c r="G16">
        <f t="shared" si="25"/>
        <v>174.20073391974663</v>
      </c>
      <c r="H16" s="2">
        <f t="shared" si="26"/>
        <v>13041.807627808766</v>
      </c>
      <c r="I16" s="3">
        <f t="shared" si="27"/>
        <v>13034.222366934553</v>
      </c>
      <c r="J16" s="3">
        <f t="shared" si="28"/>
        <v>-758.5260874213418</v>
      </c>
      <c r="K16" s="3">
        <f t="shared" si="29"/>
        <v>12928.260394874411</v>
      </c>
      <c r="L16" s="3">
        <f t="shared" si="30"/>
        <v>-11354.723293435563</v>
      </c>
      <c r="M16">
        <f t="shared" si="31"/>
        <v>13044.09174248716</v>
      </c>
      <c r="N16">
        <f t="shared" si="32"/>
        <v>228.41146783939621</v>
      </c>
      <c r="O16">
        <f t="shared" si="33"/>
        <v>12929.142674998351</v>
      </c>
      <c r="P16">
        <f t="shared" si="34"/>
        <v>-11266.495281041534</v>
      </c>
      <c r="Q16" s="3">
        <f t="shared" si="35"/>
        <v>-2.2214329092205127</v>
      </c>
      <c r="R16" s="3">
        <f t="shared" si="36"/>
        <v>0.99484052812357759</v>
      </c>
      <c r="S16">
        <f t="shared" si="37"/>
        <v>-2.1948545694498467</v>
      </c>
      <c r="T16">
        <f t="shared" si="38"/>
        <v>9.9806973379250756</v>
      </c>
      <c r="U16">
        <f t="shared" si="2"/>
        <v>4.875722171528909</v>
      </c>
      <c r="V16">
        <f t="shared" si="3"/>
        <v>7.7971670588991424</v>
      </c>
      <c r="X16" s="3">
        <f t="shared" si="0"/>
        <v>228.40146783949325</v>
      </c>
      <c r="Y16" s="3">
        <f t="shared" si="1"/>
        <v>3426.0220175923987</v>
      </c>
    </row>
    <row r="17" spans="1:25" x14ac:dyDescent="0.2">
      <c r="A17">
        <v>42</v>
      </c>
      <c r="B17">
        <v>114</v>
      </c>
      <c r="C17" s="3">
        <f t="shared" si="4"/>
        <v>0.99484052812357759</v>
      </c>
      <c r="D17">
        <f t="shared" si="22"/>
        <v>-2.2214329092205127</v>
      </c>
      <c r="E17">
        <f t="shared" si="23"/>
        <v>9.9806973379250756</v>
      </c>
      <c r="F17">
        <f t="shared" si="24"/>
        <v>-2.1948545694498467</v>
      </c>
      <c r="G17">
        <f t="shared" si="25"/>
        <v>212.57749826311334</v>
      </c>
      <c r="H17" s="2">
        <f t="shared" si="26"/>
        <v>9717.523163814114</v>
      </c>
      <c r="I17" s="3">
        <f t="shared" si="27"/>
        <v>9713.1963801026122</v>
      </c>
      <c r="J17" s="3">
        <f t="shared" si="28"/>
        <v>-432.67837115017755</v>
      </c>
      <c r="K17" s="3">
        <f t="shared" si="29"/>
        <v>9536.6278019005131</v>
      </c>
      <c r="L17" s="3">
        <f t="shared" si="30"/>
        <v>-18089.536191360094</v>
      </c>
      <c r="M17">
        <f t="shared" si="31"/>
        <v>9719.4948137793745</v>
      </c>
      <c r="N17">
        <f t="shared" si="32"/>
        <v>197.16499652604398</v>
      </c>
      <c r="O17">
        <f t="shared" si="33"/>
        <v>9536.3905982824035</v>
      </c>
      <c r="P17">
        <f t="shared" si="34"/>
        <v>-18113.25655317105</v>
      </c>
      <c r="Q17" s="3">
        <f t="shared" si="35"/>
        <v>-0.41247929008450335</v>
      </c>
      <c r="R17" s="3">
        <f t="shared" si="36"/>
        <v>1.0381083652385954</v>
      </c>
      <c r="S17">
        <f t="shared" si="37"/>
        <v>-0.38352891413274159</v>
      </c>
      <c r="T17">
        <f t="shared" si="38"/>
        <v>9.9609808382724712</v>
      </c>
      <c r="U17">
        <f t="shared" si="2"/>
        <v>0.1581977342283537</v>
      </c>
      <c r="V17">
        <f t="shared" si="3"/>
        <v>9.5628362642003975</v>
      </c>
      <c r="X17" s="3">
        <f t="shared" si="0"/>
        <v>197.15499652622668</v>
      </c>
      <c r="Y17" s="3">
        <f t="shared" si="1"/>
        <v>8280.5098541015213</v>
      </c>
    </row>
    <row r="18" spans="1:25" x14ac:dyDescent="0.2">
      <c r="A18">
        <v>62</v>
      </c>
      <c r="B18">
        <v>154</v>
      </c>
      <c r="C18" s="3">
        <f t="shared" si="4"/>
        <v>1.0381083652385954</v>
      </c>
      <c r="D18">
        <f t="shared" si="22"/>
        <v>-0.41247929008450335</v>
      </c>
      <c r="E18">
        <f t="shared" si="23"/>
        <v>9.9609808382724712</v>
      </c>
      <c r="F18">
        <f t="shared" si="24"/>
        <v>-0.38352891413274159</v>
      </c>
      <c r="G18">
        <f t="shared" si="25"/>
        <v>19.371095786358325</v>
      </c>
      <c r="H18" s="2">
        <f t="shared" si="26"/>
        <v>18124.941849765906</v>
      </c>
      <c r="I18" s="3">
        <f t="shared" si="27"/>
        <v>18125.97454602423</v>
      </c>
      <c r="J18" s="3">
        <f t="shared" si="28"/>
        <v>103.26962583239947</v>
      </c>
      <c r="K18" s="3">
        <f t="shared" si="29"/>
        <v>18189.024648894505</v>
      </c>
      <c r="L18" s="3">
        <f t="shared" si="30"/>
        <v>6408.2799128598708</v>
      </c>
      <c r="M18">
        <f t="shared" si="31"/>
        <v>18122.249371681635</v>
      </c>
      <c r="N18">
        <f t="shared" si="32"/>
        <v>-269.24780842709879</v>
      </c>
      <c r="O18">
        <f t="shared" si="33"/>
        <v>18191.066088731965</v>
      </c>
      <c r="P18">
        <f t="shared" si="34"/>
        <v>6612.4238966058329</v>
      </c>
      <c r="Q18" s="3">
        <f t="shared" si="35"/>
        <v>-1.0533072813704905</v>
      </c>
      <c r="R18" s="3">
        <f t="shared" si="36"/>
        <v>1.0277814026553556</v>
      </c>
      <c r="S18">
        <f t="shared" si="37"/>
        <v>-1.0447713037933251</v>
      </c>
      <c r="T18">
        <f t="shared" si="38"/>
        <v>9.9879056191151818</v>
      </c>
      <c r="U18">
        <f t="shared" si="2"/>
        <v>1.10046522165245</v>
      </c>
      <c r="V18">
        <f t="shared" si="3"/>
        <v>8.9141091030484141</v>
      </c>
      <c r="X18" s="3">
        <f t="shared" si="0"/>
        <v>-269.25780842728335</v>
      </c>
      <c r="Y18" s="3">
        <f t="shared" si="1"/>
        <v>-16693.984122491569</v>
      </c>
    </row>
    <row r="19" spans="1:25" x14ac:dyDescent="0.2">
      <c r="A19">
        <v>47</v>
      </c>
      <c r="B19">
        <v>124</v>
      </c>
      <c r="C19" s="3">
        <f t="shared" si="4"/>
        <v>1.0277814026553556</v>
      </c>
      <c r="D19">
        <f t="shared" si="22"/>
        <v>-1.0533072813704905</v>
      </c>
      <c r="E19">
        <f t="shared" si="23"/>
        <v>9.9879056191151818</v>
      </c>
      <c r="F19">
        <f t="shared" si="24"/>
        <v>-1.0447713037933251</v>
      </c>
      <c r="G19">
        <f t="shared" si="25"/>
        <v>60.63597452071356</v>
      </c>
      <c r="H19" s="2">
        <f t="shared" si="26"/>
        <v>4014.9997249396611</v>
      </c>
      <c r="I19" s="3">
        <f t="shared" si="27"/>
        <v>4016.3238524046396</v>
      </c>
      <c r="J19" s="3">
        <f t="shared" si="28"/>
        <v>132.41274649785737</v>
      </c>
      <c r="K19" s="3">
        <f t="shared" si="29"/>
        <v>4077.4697082717935</v>
      </c>
      <c r="L19" s="3">
        <f t="shared" si="30"/>
        <v>6246.9983332132415</v>
      </c>
      <c r="M19">
        <f t="shared" si="31"/>
        <v>4013.7325444300754</v>
      </c>
      <c r="N19">
        <f t="shared" si="32"/>
        <v>-126.71805095856143</v>
      </c>
      <c r="O19">
        <f t="shared" si="33"/>
        <v>4076.6695280092567</v>
      </c>
      <c r="P19">
        <f t="shared" si="34"/>
        <v>6166.9803069595673</v>
      </c>
      <c r="Q19" s="3">
        <f t="shared" si="35"/>
        <v>-1.6780071146918147</v>
      </c>
      <c r="R19" s="3">
        <f t="shared" si="36"/>
        <v>1.0145401280055699</v>
      </c>
      <c r="S19">
        <f t="shared" si="37"/>
        <v>-1.6614693344892819</v>
      </c>
      <c r="T19">
        <f t="shared" si="38"/>
        <v>10.000577424211038</v>
      </c>
      <c r="U19">
        <f t="shared" si="2"/>
        <v>2.7879573641152895</v>
      </c>
      <c r="V19">
        <f t="shared" si="3"/>
        <v>8.3149501129209522</v>
      </c>
      <c r="X19" s="3">
        <f t="shared" si="0"/>
        <v>-126.72805095857288</v>
      </c>
      <c r="Y19" s="3">
        <f t="shared" si="1"/>
        <v>-5956.2183950529252</v>
      </c>
    </row>
    <row r="20" spans="1:25" x14ac:dyDescent="0.2">
      <c r="A20">
        <v>35</v>
      </c>
      <c r="B20">
        <v>100</v>
      </c>
      <c r="C20" s="3">
        <f t="shared" si="4"/>
        <v>1.0145401280055699</v>
      </c>
      <c r="D20">
        <f t="shared" si="22"/>
        <v>-1.6780071146918147</v>
      </c>
      <c r="E20">
        <f t="shared" si="23"/>
        <v>10.000577424211038</v>
      </c>
      <c r="F20">
        <f t="shared" si="24"/>
        <v>-1.6614693344892819</v>
      </c>
      <c r="G20">
        <f t="shared" si="25"/>
        <v>105.89345785695608</v>
      </c>
      <c r="H20" s="2">
        <f t="shared" si="26"/>
        <v>34.732845511717301</v>
      </c>
      <c r="I20" s="3">
        <f t="shared" si="27"/>
        <v>34.537285569683682</v>
      </c>
      <c r="J20" s="3">
        <f t="shared" si="28"/>
        <v>-19.555994203361848</v>
      </c>
      <c r="K20" s="3">
        <f t="shared" si="29"/>
        <v>28.216744702118575</v>
      </c>
      <c r="L20" s="3">
        <f t="shared" si="30"/>
        <v>-651.61008095987256</v>
      </c>
      <c r="M20">
        <f t="shared" si="31"/>
        <v>34.850814668856479</v>
      </c>
      <c r="N20">
        <f t="shared" si="32"/>
        <v>11.796915713917855</v>
      </c>
      <c r="O20">
        <f t="shared" si="33"/>
        <v>28.263053856836958</v>
      </c>
      <c r="P20">
        <f t="shared" si="34"/>
        <v>-646.97916548803425</v>
      </c>
      <c r="Q20" s="3">
        <f t="shared" si="35"/>
        <v>-1.6128461065958275</v>
      </c>
      <c r="R20" s="3">
        <f t="shared" si="36"/>
        <v>1.0164957274259061</v>
      </c>
      <c r="S20">
        <f t="shared" si="37"/>
        <v>-1.5967714179404784</v>
      </c>
      <c r="T20">
        <f t="shared" si="38"/>
        <v>9.999397732639645</v>
      </c>
      <c r="U20">
        <f t="shared" si="2"/>
        <v>2.5753465645487994</v>
      </c>
      <c r="V20">
        <f t="shared" si="3"/>
        <v>8.3762864086273439</v>
      </c>
      <c r="X20" s="3">
        <f t="shared" si="0"/>
        <v>11.786915713912151</v>
      </c>
      <c r="Y20" s="3">
        <f t="shared" si="1"/>
        <v>412.54204998692529</v>
      </c>
    </row>
    <row r="21" spans="1:25" x14ac:dyDescent="0.2">
      <c r="A21">
        <v>9</v>
      </c>
      <c r="B21">
        <v>48</v>
      </c>
      <c r="C21" s="3">
        <f t="shared" si="4"/>
        <v>1.0164957274259061</v>
      </c>
      <c r="D21">
        <f t="shared" si="22"/>
        <v>-1.6128461065958275</v>
      </c>
      <c r="E21">
        <f t="shared" si="23"/>
        <v>9.999397732639645</v>
      </c>
      <c r="F21">
        <f t="shared" si="24"/>
        <v>-1.5967714179404784</v>
      </c>
      <c r="G21">
        <f t="shared" si="25"/>
        <v>31.554405489566541</v>
      </c>
      <c r="H21" s="2">
        <f t="shared" si="26"/>
        <v>270.45757880159914</v>
      </c>
      <c r="I21" s="3">
        <f t="shared" si="27"/>
        <v>270.98303087480139</v>
      </c>
      <c r="J21" s="3">
        <f t="shared" si="28"/>
        <v>52.545207320224563</v>
      </c>
      <c r="K21" s="3">
        <f t="shared" si="29"/>
        <v>275.2050051489386</v>
      </c>
      <c r="L21" s="3">
        <f t="shared" si="30"/>
        <v>474.74263473394558</v>
      </c>
      <c r="M21">
        <f t="shared" si="31"/>
        <v>270.12876691139053</v>
      </c>
      <c r="N21">
        <f t="shared" si="32"/>
        <v>-32.881189020861257</v>
      </c>
      <c r="O21">
        <f t="shared" si="33"/>
        <v>274.91582224633146</v>
      </c>
      <c r="P21">
        <f t="shared" si="34"/>
        <v>445.8243444732318</v>
      </c>
      <c r="Q21" s="3">
        <f t="shared" si="35"/>
        <v>-1.660320370069222</v>
      </c>
      <c r="R21" s="3">
        <f t="shared" si="36"/>
        <v>1.0112412066938836</v>
      </c>
      <c r="S21">
        <f t="shared" si="37"/>
        <v>-1.6413538523878015</v>
      </c>
      <c r="T21">
        <f t="shared" si="38"/>
        <v>10.002685851541731</v>
      </c>
      <c r="U21">
        <f t="shared" si="2"/>
        <v>2.7251732356110576</v>
      </c>
      <c r="V21">
        <f t="shared" si="3"/>
        <v>8.3428812012414362</v>
      </c>
      <c r="X21" s="3">
        <f t="shared" si="0"/>
        <v>-32.891189020866918</v>
      </c>
      <c r="Y21" s="3">
        <f t="shared" si="1"/>
        <v>-296.02070118780227</v>
      </c>
    </row>
    <row r="22" spans="1:25" x14ac:dyDescent="0.2">
      <c r="A22">
        <v>38</v>
      </c>
      <c r="B22">
        <v>106</v>
      </c>
      <c r="C22" s="3">
        <f t="shared" si="4"/>
        <v>1.0112412066938836</v>
      </c>
      <c r="D22">
        <f t="shared" si="22"/>
        <v>-1.660320370069222</v>
      </c>
      <c r="E22">
        <f t="shared" si="23"/>
        <v>10.002685851541731</v>
      </c>
      <c r="F22">
        <f t="shared" si="24"/>
        <v>-1.6413538523878015</v>
      </c>
      <c r="G22">
        <f t="shared" si="25"/>
        <v>111.89946415446163</v>
      </c>
      <c r="H22" s="2">
        <f t="shared" si="26"/>
        <v>34.803677309777626</v>
      </c>
      <c r="I22" s="3">
        <f t="shared" si="27"/>
        <v>34.610284549685517</v>
      </c>
      <c r="J22" s="3">
        <f t="shared" si="28"/>
        <v>-19.339276009210948</v>
      </c>
      <c r="K22" s="3">
        <f t="shared" si="29"/>
        <v>27.833534797383411</v>
      </c>
      <c r="L22" s="3">
        <f t="shared" si="30"/>
        <v>-697.01425123942147</v>
      </c>
      <c r="M22">
        <f t="shared" si="31"/>
        <v>34.921766592866916</v>
      </c>
      <c r="N22">
        <f t="shared" si="32"/>
        <v>11.808928308929012</v>
      </c>
      <c r="O22">
        <f t="shared" si="33"/>
        <v>27.864196771021273</v>
      </c>
      <c r="P22">
        <f t="shared" si="34"/>
        <v>-693.94805387563531</v>
      </c>
      <c r="Q22" s="3">
        <f t="shared" si="35"/>
        <v>-1.5906189449452799</v>
      </c>
      <c r="R22" s="3">
        <f t="shared" si="36"/>
        <v>1.0131751342948048</v>
      </c>
      <c r="S22">
        <f t="shared" si="37"/>
        <v>-1.571959047000238</v>
      </c>
      <c r="T22">
        <f t="shared" si="38"/>
        <v>10.001504958710838</v>
      </c>
      <c r="U22">
        <f t="shared" si="2"/>
        <v>2.5003878408367064</v>
      </c>
      <c r="V22">
        <f t="shared" si="3"/>
        <v>8.4088351401604378</v>
      </c>
      <c r="X22" s="3">
        <f t="shared" si="0"/>
        <v>11.798928308923252</v>
      </c>
      <c r="Y22" s="3">
        <f t="shared" si="1"/>
        <v>448.35927573908356</v>
      </c>
    </row>
    <row r="23" spans="1:25" x14ac:dyDescent="0.2">
      <c r="A23">
        <v>44</v>
      </c>
      <c r="B23">
        <v>118</v>
      </c>
      <c r="C23" s="3">
        <f t="shared" si="4"/>
        <v>1.0131751342948048</v>
      </c>
      <c r="D23">
        <f t="shared" si="22"/>
        <v>-1.5906189449452799</v>
      </c>
      <c r="E23">
        <f t="shared" si="23"/>
        <v>10.001504958710838</v>
      </c>
      <c r="F23">
        <f t="shared" si="24"/>
        <v>-1.571959047000238</v>
      </c>
      <c r="G23">
        <f t="shared" si="25"/>
        <v>118.42590013697553</v>
      </c>
      <c r="H23" s="2">
        <f t="shared" si="26"/>
        <v>0.18139092667577369</v>
      </c>
      <c r="I23" s="3">
        <f t="shared" si="27"/>
        <v>0.16824808073157466</v>
      </c>
      <c r="J23" s="3">
        <f t="shared" si="28"/>
        <v>-1.3142845944199038</v>
      </c>
      <c r="K23" s="3">
        <f t="shared" si="29"/>
        <v>7.0629357569265819E-2</v>
      </c>
      <c r="L23" s="3">
        <f t="shared" si="30"/>
        <v>-11.076156910650788</v>
      </c>
      <c r="M23">
        <f t="shared" si="31"/>
        <v>0.19000892941528871</v>
      </c>
      <c r="N23">
        <f t="shared" si="32"/>
        <v>0.86180027395150183</v>
      </c>
      <c r="O23">
        <f t="shared" si="33"/>
        <v>6.9611781714542187E-2</v>
      </c>
      <c r="P23">
        <f t="shared" si="34"/>
        <v>-11.177914496123151</v>
      </c>
      <c r="Q23" s="3">
        <f t="shared" si="35"/>
        <v>-1.5895113292542149</v>
      </c>
      <c r="R23" s="3">
        <f t="shared" si="36"/>
        <v>1.0133065627542468</v>
      </c>
      <c r="S23">
        <f t="shared" si="37"/>
        <v>-1.5708412555506257</v>
      </c>
      <c r="T23">
        <f t="shared" si="38"/>
        <v>10.001418778683442</v>
      </c>
      <c r="U23">
        <f t="shared" si="2"/>
        <v>2.4968699721576351</v>
      </c>
      <c r="V23">
        <f t="shared" si="3"/>
        <v>8.4096750253888715</v>
      </c>
      <c r="X23" s="3">
        <f t="shared" si="0"/>
        <v>0.8518002739510564</v>
      </c>
      <c r="Y23" s="3">
        <f t="shared" si="1"/>
        <v>37.479212053846481</v>
      </c>
    </row>
    <row r="24" spans="1:25" x14ac:dyDescent="0.2">
      <c r="A24">
        <v>99</v>
      </c>
      <c r="B24">
        <v>228</v>
      </c>
      <c r="C24" s="3">
        <f t="shared" si="4"/>
        <v>1.0133065627542468</v>
      </c>
      <c r="D24">
        <f t="shared" si="22"/>
        <v>-1.5895113292542149</v>
      </c>
      <c r="E24">
        <f t="shared" si="23"/>
        <v>10.001418778683442</v>
      </c>
      <c r="F24">
        <f t="shared" si="24"/>
        <v>-1.5708412555506257</v>
      </c>
      <c r="G24">
        <f t="shared" si="25"/>
        <v>255.59980226899472</v>
      </c>
      <c r="H24" s="2">
        <f t="shared" si="26"/>
        <v>761.74908528760625</v>
      </c>
      <c r="I24" s="3">
        <f t="shared" si="27"/>
        <v>760.88223388084896</v>
      </c>
      <c r="J24" s="3">
        <f t="shared" si="28"/>
        <v>-86.685140675729144</v>
      </c>
      <c r="K24" s="3">
        <f t="shared" si="29"/>
        <v>678.32480550959906</v>
      </c>
      <c r="L24" s="3">
        <f t="shared" si="30"/>
        <v>-8342.4279778007185</v>
      </c>
      <c r="M24">
        <f t="shared" si="31"/>
        <v>762.30118133298561</v>
      </c>
      <c r="N24">
        <f t="shared" si="32"/>
        <v>55.209604537935775</v>
      </c>
      <c r="O24">
        <f t="shared" si="33"/>
        <v>677.88991324873155</v>
      </c>
      <c r="P24">
        <f t="shared" si="34"/>
        <v>-8385.9172038874694</v>
      </c>
      <c r="Q24" s="3">
        <f t="shared" si="35"/>
        <v>-0.75526853147414297</v>
      </c>
      <c r="R24" s="3">
        <f t="shared" si="36"/>
        <v>1.0219750768218197</v>
      </c>
      <c r="S24">
        <f t="shared" si="37"/>
        <v>-0.73224953516187874</v>
      </c>
      <c r="T24">
        <f t="shared" si="38"/>
        <v>9.9958978182296487</v>
      </c>
      <c r="U24">
        <f t="shared" si="2"/>
        <v>0.553045031094336</v>
      </c>
      <c r="V24">
        <f t="shared" si="3"/>
        <v>9.247557043279846</v>
      </c>
      <c r="X24" s="3">
        <f t="shared" si="0"/>
        <v>55.199604537989444</v>
      </c>
      <c r="Y24" s="3">
        <f t="shared" si="1"/>
        <v>5464.7608492609552</v>
      </c>
    </row>
    <row r="25" spans="1:25" x14ac:dyDescent="0.2">
      <c r="A25">
        <v>13</v>
      </c>
      <c r="B25">
        <v>56</v>
      </c>
      <c r="C25" s="3">
        <f t="shared" si="4"/>
        <v>1.0219750768218197</v>
      </c>
      <c r="D25">
        <f t="shared" si="22"/>
        <v>-0.75526853147414297</v>
      </c>
      <c r="E25">
        <f t="shared" si="23"/>
        <v>9.9958978182296487</v>
      </c>
      <c r="F25">
        <f t="shared" si="24"/>
        <v>-0.73224953516187874</v>
      </c>
      <c r="G25">
        <f t="shared" si="25"/>
        <v>16.437142447506215</v>
      </c>
      <c r="H25" s="2">
        <f t="shared" si="26"/>
        <v>1565.2196977189142</v>
      </c>
      <c r="I25" s="3">
        <f t="shared" si="27"/>
        <v>1565.7991490189027</v>
      </c>
      <c r="J25" s="3">
        <f t="shared" si="28"/>
        <v>57.945129998847733</v>
      </c>
      <c r="K25" s="3">
        <f t="shared" si="29"/>
        <v>1572.7609291731135</v>
      </c>
      <c r="L25" s="3">
        <f t="shared" si="30"/>
        <v>754.12314541993055</v>
      </c>
      <c r="M25">
        <f t="shared" si="31"/>
        <v>1564.4285405678652</v>
      </c>
      <c r="N25">
        <f t="shared" si="32"/>
        <v>-79.115715104899209</v>
      </c>
      <c r="O25">
        <f t="shared" si="33"/>
        <v>1572.1877416446578</v>
      </c>
      <c r="P25">
        <f t="shared" si="34"/>
        <v>696.80439257435864</v>
      </c>
      <c r="Q25" s="3">
        <f t="shared" si="35"/>
        <v>-0.83068084601613601</v>
      </c>
      <c r="R25" s="3">
        <f t="shared" si="36"/>
        <v>1.0161805638219348</v>
      </c>
      <c r="S25">
        <f t="shared" si="37"/>
        <v>-0.80192997441931457</v>
      </c>
      <c r="T25">
        <f t="shared" si="38"/>
        <v>10.003809389740139</v>
      </c>
      <c r="U25">
        <f t="shared" si="2"/>
        <v>0.66614786959633454</v>
      </c>
      <c r="V25">
        <f t="shared" si="3"/>
        <v>9.18890373618901</v>
      </c>
      <c r="X25" s="3">
        <f t="shared" si="0"/>
        <v>-79.125715104987563</v>
      </c>
      <c r="Y25" s="3">
        <f t="shared" si="1"/>
        <v>-1028.6342963648383</v>
      </c>
    </row>
    <row r="26" spans="1:25" x14ac:dyDescent="0.2">
      <c r="A26">
        <v>21</v>
      </c>
      <c r="B26">
        <v>72</v>
      </c>
      <c r="C26" s="3">
        <f t="shared" si="4"/>
        <v>1.0161805638219348</v>
      </c>
      <c r="D26">
        <f t="shared" si="22"/>
        <v>-0.83068084601613601</v>
      </c>
      <c r="E26">
        <f t="shared" si="23"/>
        <v>10.003809389740139</v>
      </c>
      <c r="F26">
        <f t="shared" si="24"/>
        <v>-0.80192997441931457</v>
      </c>
      <c r="G26">
        <f t="shared" si="25"/>
        <v>23.178008997712034</v>
      </c>
      <c r="H26" s="2">
        <f t="shared" si="26"/>
        <v>2383.586805427487</v>
      </c>
      <c r="I26" s="3">
        <f t="shared" si="27"/>
        <v>2384.3699060965664</v>
      </c>
      <c r="J26" s="3">
        <f t="shared" si="28"/>
        <v>78.31006690794311</v>
      </c>
      <c r="K26" s="3">
        <f t="shared" si="29"/>
        <v>2400.0589293288826</v>
      </c>
      <c r="L26" s="3">
        <f t="shared" si="30"/>
        <v>1647.2123901395662</v>
      </c>
      <c r="M26">
        <f t="shared" si="31"/>
        <v>2382.6104656074417</v>
      </c>
      <c r="N26">
        <f t="shared" si="32"/>
        <v>-97.633982004526843</v>
      </c>
      <c r="O26">
        <f t="shared" si="33"/>
        <v>2399.6548615358847</v>
      </c>
      <c r="P26">
        <f t="shared" si="34"/>
        <v>1606.8056108397741</v>
      </c>
      <c r="Q26" s="3">
        <f t="shared" si="35"/>
        <v>-0.99540208503009264</v>
      </c>
      <c r="R26" s="3">
        <f t="shared" si="36"/>
        <v>1.0083495571311405</v>
      </c>
      <c r="S26">
        <f t="shared" si="37"/>
        <v>-0.96261053550329201</v>
      </c>
      <c r="T26">
        <f t="shared" si="38"/>
        <v>10.013572787940593</v>
      </c>
      <c r="U26">
        <f t="shared" si="2"/>
        <v>0.95818453411191085</v>
      </c>
      <c r="V26">
        <f t="shared" si="3"/>
        <v>9.0429248807760789</v>
      </c>
      <c r="X26" s="3">
        <f t="shared" si="0"/>
        <v>-97.643982004575932</v>
      </c>
      <c r="Y26" s="3">
        <f t="shared" si="1"/>
        <v>-2050.5236220960946</v>
      </c>
    </row>
    <row r="27" spans="1:25" x14ac:dyDescent="0.2">
      <c r="A27">
        <v>28</v>
      </c>
      <c r="B27">
        <v>86</v>
      </c>
      <c r="C27" s="3">
        <f t="shared" si="4"/>
        <v>1.0083495571311405</v>
      </c>
      <c r="D27">
        <f t="shared" si="22"/>
        <v>-0.99540208503009264</v>
      </c>
      <c r="E27">
        <f t="shared" si="23"/>
        <v>10.013572787940593</v>
      </c>
      <c r="F27">
        <f t="shared" si="24"/>
        <v>-0.96261053550329201</v>
      </c>
      <c r="G27">
        <f t="shared" si="25"/>
        <v>35.872091835909586</v>
      </c>
      <c r="H27" s="2">
        <f t="shared" si="26"/>
        <v>2512.8071769074822</v>
      </c>
      <c r="I27" s="3">
        <f t="shared" si="27"/>
        <v>2513.7723426198172</v>
      </c>
      <c r="J27" s="3">
        <f t="shared" si="28"/>
        <v>96.516571233496506</v>
      </c>
      <c r="K27" s="3">
        <f t="shared" si="29"/>
        <v>2539.9018692524965</v>
      </c>
      <c r="L27" s="3">
        <f t="shared" si="30"/>
        <v>2709.4692345014209</v>
      </c>
      <c r="M27">
        <f t="shared" si="31"/>
        <v>2511.8047187442007</v>
      </c>
      <c r="N27">
        <f t="shared" si="32"/>
        <v>-100.2458163281517</v>
      </c>
      <c r="O27">
        <f t="shared" si="33"/>
        <v>2539.810967025237</v>
      </c>
      <c r="P27">
        <f t="shared" si="34"/>
        <v>2700.3790117754761</v>
      </c>
      <c r="Q27" s="3">
        <f t="shared" si="35"/>
        <v>-1.2663490084802347</v>
      </c>
      <c r="R27" s="3">
        <f t="shared" si="36"/>
        <v>0.9986979000077908</v>
      </c>
      <c r="S27">
        <f t="shared" si="37"/>
        <v>-1.2326484366808397</v>
      </c>
      <c r="T27">
        <f t="shared" si="38"/>
        <v>10.023597369573407</v>
      </c>
      <c r="U27">
        <f t="shared" si="2"/>
        <v>1.5609631255954928</v>
      </c>
      <c r="V27">
        <f t="shared" si="3"/>
        <v>8.7925539644123667</v>
      </c>
      <c r="X27" s="3">
        <f t="shared" si="0"/>
        <v>-100.25581632818083</v>
      </c>
      <c r="Y27" s="3">
        <f t="shared" si="1"/>
        <v>-2807.1628571890633</v>
      </c>
    </row>
    <row r="28" spans="1:25" x14ac:dyDescent="0.2">
      <c r="A28">
        <v>20</v>
      </c>
      <c r="B28">
        <v>70</v>
      </c>
      <c r="C28" s="3">
        <f t="shared" si="4"/>
        <v>0.9986979000077908</v>
      </c>
      <c r="D28">
        <f t="shared" si="22"/>
        <v>-1.2663490084802347</v>
      </c>
      <c r="E28">
        <f t="shared" si="23"/>
        <v>10.023597369573407</v>
      </c>
      <c r="F28">
        <f t="shared" si="24"/>
        <v>-1.2326484366808397</v>
      </c>
      <c r="G28">
        <f t="shared" si="25"/>
        <v>40.011816476322224</v>
      </c>
      <c r="H28" s="2">
        <f t="shared" si="26"/>
        <v>899.29115104977927</v>
      </c>
      <c r="I28" s="3">
        <f t="shared" si="27"/>
        <v>900.03060074278335</v>
      </c>
      <c r="J28" s="3">
        <f t="shared" si="28"/>
        <v>73.944969300407593</v>
      </c>
      <c r="K28" s="3">
        <f t="shared" si="29"/>
        <v>914.13788295226129</v>
      </c>
      <c r="L28" s="3">
        <f t="shared" si="30"/>
        <v>1484.673190248202</v>
      </c>
      <c r="M28">
        <f t="shared" si="31"/>
        <v>898.69148737930584</v>
      </c>
      <c r="N28">
        <f t="shared" si="32"/>
        <v>-59.966367047343283</v>
      </c>
      <c r="O28">
        <f t="shared" si="33"/>
        <v>913.94155745192859</v>
      </c>
      <c r="P28">
        <f t="shared" si="34"/>
        <v>1465.0406402149315</v>
      </c>
      <c r="Q28" s="3">
        <f t="shared" si="35"/>
        <v>-1.4148163275050549</v>
      </c>
      <c r="R28" s="3">
        <f t="shared" si="36"/>
        <v>0.99130340307775</v>
      </c>
      <c r="S28">
        <f t="shared" si="37"/>
        <v>-1.3791525007023329</v>
      </c>
      <c r="T28">
        <f t="shared" si="38"/>
        <v>10.029594006278142</v>
      </c>
      <c r="U28">
        <f t="shared" si="2"/>
        <v>1.9512474761130874</v>
      </c>
      <c r="V28">
        <f t="shared" si="3"/>
        <v>8.6624354389687301</v>
      </c>
      <c r="X28" s="3">
        <f t="shared" si="0"/>
        <v>-59.976367047355552</v>
      </c>
      <c r="Y28" s="3">
        <f t="shared" si="1"/>
        <v>-1199.527340947111</v>
      </c>
    </row>
    <row r="29" spans="1:25" x14ac:dyDescent="0.2">
      <c r="A29">
        <v>8</v>
      </c>
      <c r="B29">
        <v>46</v>
      </c>
      <c r="C29" s="3">
        <f t="shared" si="4"/>
        <v>0.99130340307775</v>
      </c>
      <c r="D29">
        <f t="shared" si="22"/>
        <v>-1.4148163275050549</v>
      </c>
      <c r="E29">
        <f t="shared" si="23"/>
        <v>10.029594006278142</v>
      </c>
      <c r="F29">
        <f t="shared" si="24"/>
        <v>-1.3791525007023329</v>
      </c>
      <c r="G29">
        <f t="shared" si="25"/>
        <v>24.272415247873429</v>
      </c>
      <c r="H29" s="2">
        <f t="shared" si="26"/>
        <v>472.08793916084306</v>
      </c>
      <c r="I29" s="3">
        <f t="shared" si="27"/>
        <v>472.68744242390756</v>
      </c>
      <c r="J29" s="3">
        <f t="shared" si="28"/>
        <v>59.950326306449142</v>
      </c>
      <c r="K29" s="3">
        <f t="shared" si="29"/>
        <v>476.8946168104311</v>
      </c>
      <c r="L29" s="3">
        <f t="shared" si="30"/>
        <v>480.6677649588039</v>
      </c>
      <c r="M29">
        <f t="shared" si="31"/>
        <v>471.65348746580048</v>
      </c>
      <c r="N29">
        <f t="shared" si="32"/>
        <v>-43.445169504258274</v>
      </c>
      <c r="O29">
        <f t="shared" si="33"/>
        <v>476.58631841526261</v>
      </c>
      <c r="P29">
        <f t="shared" si="34"/>
        <v>449.83792544195467</v>
      </c>
      <c r="Q29" s="3">
        <f t="shared" si="35"/>
        <v>-1.4628831040009354</v>
      </c>
      <c r="R29" s="3">
        <f t="shared" si="36"/>
        <v>0.98530837044710506</v>
      </c>
      <c r="S29">
        <f t="shared" si="37"/>
        <v>-1.4241362932465282</v>
      </c>
      <c r="T29">
        <f t="shared" si="38"/>
        <v>10.033938523228567</v>
      </c>
      <c r="U29">
        <f t="shared" si="2"/>
        <v>2.0833449211848674</v>
      </c>
      <c r="V29">
        <f t="shared" si="3"/>
        <v>8.6307251128352505</v>
      </c>
      <c r="X29" s="3">
        <f t="shared" si="0"/>
        <v>-43.455169504253142</v>
      </c>
      <c r="Y29" s="3">
        <f t="shared" si="1"/>
        <v>-347.64135603402514</v>
      </c>
    </row>
    <row r="30" spans="1:25" x14ac:dyDescent="0.2">
      <c r="A30">
        <v>64</v>
      </c>
      <c r="B30">
        <v>158</v>
      </c>
      <c r="C30" s="3">
        <f t="shared" si="4"/>
        <v>0.98530837044710506</v>
      </c>
      <c r="D30">
        <f t="shared" si="22"/>
        <v>-1.4628831040009354</v>
      </c>
      <c r="E30">
        <f t="shared" si="23"/>
        <v>10.033938523228567</v>
      </c>
      <c r="F30">
        <f t="shared" si="24"/>
        <v>-1.4241362932465282</v>
      </c>
      <c r="G30">
        <f t="shared" si="25"/>
        <v>141.96480006866676</v>
      </c>
      <c r="H30" s="2">
        <f t="shared" si="26"/>
        <v>257.12763683782947</v>
      </c>
      <c r="I30" s="3">
        <f t="shared" si="27"/>
        <v>257.58456585808125</v>
      </c>
      <c r="J30" s="3">
        <f t="shared" si="28"/>
        <v>45.692902025177773</v>
      </c>
      <c r="K30" s="3">
        <f t="shared" si="29"/>
        <v>287.18884993201584</v>
      </c>
      <c r="L30" s="3">
        <f t="shared" si="30"/>
        <v>3006.1213094186369</v>
      </c>
      <c r="M30">
        <f t="shared" si="31"/>
        <v>256.80703283920224</v>
      </c>
      <c r="N30">
        <f t="shared" si="32"/>
        <v>-32.060399862723443</v>
      </c>
      <c r="O30">
        <f t="shared" si="33"/>
        <v>287.69560433427569</v>
      </c>
      <c r="P30">
        <f t="shared" si="34"/>
        <v>3056.7967496446213</v>
      </c>
      <c r="Q30" s="3">
        <f t="shared" si="35"/>
        <v>-1.763495234942799</v>
      </c>
      <c r="R30" s="3">
        <f t="shared" si="36"/>
        <v>0.98073908024458734</v>
      </c>
      <c r="S30">
        <f t="shared" si="37"/>
        <v>-1.7298159682109904</v>
      </c>
      <c r="T30">
        <f t="shared" si="38"/>
        <v>10.03714456321484</v>
      </c>
      <c r="U30">
        <f t="shared" si="2"/>
        <v>3.0505222172680457</v>
      </c>
      <c r="V30">
        <f t="shared" si="3"/>
        <v>8.3406464415591923</v>
      </c>
      <c r="X30" s="3">
        <f t="shared" si="0"/>
        <v>-32.070399862666477</v>
      </c>
      <c r="Y30" s="3">
        <f t="shared" si="1"/>
        <v>-2052.5055912106545</v>
      </c>
    </row>
    <row r="31" spans="1:25" x14ac:dyDescent="0.2">
      <c r="A31">
        <v>99</v>
      </c>
      <c r="B31">
        <v>228</v>
      </c>
      <c r="C31" s="3">
        <f t="shared" si="4"/>
        <v>0.98073908024458734</v>
      </c>
      <c r="D31">
        <f t="shared" si="22"/>
        <v>-1.763495234942799</v>
      </c>
      <c r="E31">
        <f t="shared" si="23"/>
        <v>10.03714456321484</v>
      </c>
      <c r="F31">
        <f t="shared" si="24"/>
        <v>-1.7298159682109904</v>
      </c>
      <c r="G31">
        <f t="shared" si="25"/>
        <v>310.34234595109575</v>
      </c>
      <c r="H31" s="2">
        <f t="shared" si="26"/>
        <v>6780.2619367299349</v>
      </c>
      <c r="I31" s="3">
        <f t="shared" si="27"/>
        <v>6777.4134938585375</v>
      </c>
      <c r="J31" s="3">
        <f t="shared" si="28"/>
        <v>-284.84428713973102</v>
      </c>
      <c r="K31" s="3">
        <f t="shared" si="29"/>
        <v>6501.169186299865</v>
      </c>
      <c r="L31" s="3">
        <f t="shared" si="30"/>
        <v>-27909.275043006983</v>
      </c>
      <c r="M31">
        <f t="shared" si="31"/>
        <v>6781.9088836489555</v>
      </c>
      <c r="N31">
        <f t="shared" si="32"/>
        <v>164.69469190205928</v>
      </c>
      <c r="O31">
        <f t="shared" si="33"/>
        <v>6497.3744807625271</v>
      </c>
      <c r="P31">
        <f t="shared" si="34"/>
        <v>-28288.745596740773</v>
      </c>
      <c r="Q31" s="3">
        <f t="shared" si="35"/>
        <v>1.0274322693578994</v>
      </c>
      <c r="R31" s="3">
        <f t="shared" si="36"/>
        <v>1.0092235089585604</v>
      </c>
      <c r="S31">
        <f t="shared" si="37"/>
        <v>1.0990585914630873</v>
      </c>
      <c r="T31">
        <f t="shared" si="38"/>
        <v>10.020675094024634</v>
      </c>
      <c r="U31">
        <f t="shared" si="2"/>
        <v>1.1292082627842162</v>
      </c>
      <c r="V31">
        <f t="shared" si="3"/>
        <v>11.129870862252064</v>
      </c>
      <c r="X31" s="3">
        <f t="shared" si="0"/>
        <v>164.6846919021915</v>
      </c>
      <c r="Y31" s="3">
        <f t="shared" si="1"/>
        <v>16303.784498316958</v>
      </c>
    </row>
    <row r="32" spans="1:25" x14ac:dyDescent="0.2">
      <c r="A32">
        <v>70</v>
      </c>
      <c r="B32">
        <v>170</v>
      </c>
      <c r="C32" s="3">
        <f t="shared" si="4"/>
        <v>1.0092235089585604</v>
      </c>
      <c r="D32">
        <f t="shared" si="22"/>
        <v>1.0274322693578994</v>
      </c>
      <c r="E32">
        <f t="shared" si="23"/>
        <v>10.020675094024634</v>
      </c>
      <c r="F32">
        <f t="shared" si="24"/>
        <v>1.0990585914630873</v>
      </c>
      <c r="G32">
        <f t="shared" si="25"/>
        <v>90.174449257147202</v>
      </c>
      <c r="H32" s="2">
        <f t="shared" si="26"/>
        <v>6372.1185513997671</v>
      </c>
      <c r="I32" s="3">
        <f t="shared" si="27"/>
        <v>6370.3640130454996</v>
      </c>
      <c r="J32" s="3">
        <f t="shared" si="28"/>
        <v>-175.45383542674244</v>
      </c>
      <c r="K32" s="3">
        <f t="shared" si="29"/>
        <v>6249.8842966885395</v>
      </c>
      <c r="L32" s="3">
        <f t="shared" si="30"/>
        <v>-12223.425471122755</v>
      </c>
      <c r="M32">
        <f t="shared" si="31"/>
        <v>6370.5221403849109</v>
      </c>
      <c r="N32">
        <f t="shared" si="32"/>
        <v>-159.64110148561304</v>
      </c>
      <c r="O32">
        <f t="shared" si="33"/>
        <v>6256.2177004375872</v>
      </c>
      <c r="P32">
        <f t="shared" si="34"/>
        <v>-11590.08509621799</v>
      </c>
      <c r="Q32" s="3">
        <f t="shared" si="35"/>
        <v>2.249774816470175</v>
      </c>
      <c r="R32" s="3">
        <f t="shared" si="36"/>
        <v>1.0267688925012346</v>
      </c>
      <c r="S32">
        <f t="shared" si="37"/>
        <v>2.2580671010848863</v>
      </c>
      <c r="T32">
        <f t="shared" si="38"/>
        <v>10.036639204173195</v>
      </c>
      <c r="U32">
        <f t="shared" si="2"/>
        <v>5.0801424979205905</v>
      </c>
      <c r="V32">
        <f t="shared" si="3"/>
        <v>12.355152260747596</v>
      </c>
      <c r="X32" s="3">
        <f t="shared" si="0"/>
        <v>-159.6511014857056</v>
      </c>
      <c r="Y32" s="3">
        <f t="shared" si="1"/>
        <v>-11175.577103999392</v>
      </c>
    </row>
    <row r="33" spans="1:25" x14ac:dyDescent="0.2">
      <c r="A33">
        <v>27</v>
      </c>
      <c r="B33">
        <v>84</v>
      </c>
      <c r="C33" s="3">
        <f t="shared" si="4"/>
        <v>1.0267688925012346</v>
      </c>
      <c r="D33">
        <f t="shared" si="22"/>
        <v>2.249774816470175</v>
      </c>
      <c r="E33">
        <f t="shared" si="23"/>
        <v>10.036639204173195</v>
      </c>
      <c r="F33">
        <f t="shared" si="24"/>
        <v>2.2580671010848863</v>
      </c>
      <c r="G33">
        <f t="shared" si="25"/>
        <v>149.51899970460352</v>
      </c>
      <c r="H33" s="2">
        <f t="shared" si="26"/>
        <v>4292.7393222918354</v>
      </c>
      <c r="I33" s="3">
        <f t="shared" si="27"/>
        <v>4295.6987581331168</v>
      </c>
      <c r="J33" s="3">
        <f t="shared" si="28"/>
        <v>295.94358412814472</v>
      </c>
      <c r="K33" s="3">
        <f t="shared" si="29"/>
        <v>4373.0020304721793</v>
      </c>
      <c r="L33" s="3">
        <f t="shared" si="30"/>
        <v>8026.2708180343907</v>
      </c>
      <c r="M33">
        <f t="shared" si="31"/>
        <v>4294.0498022859301</v>
      </c>
      <c r="N33">
        <f t="shared" si="32"/>
        <v>131.04799940947487</v>
      </c>
      <c r="O33">
        <f t="shared" si="33"/>
        <v>4374.0639590975989</v>
      </c>
      <c r="P33">
        <f t="shared" si="34"/>
        <v>8132.4636805763475</v>
      </c>
      <c r="Q33" s="3">
        <f t="shared" si="35"/>
        <v>1.4471477346667359</v>
      </c>
      <c r="R33" s="3">
        <f t="shared" si="36"/>
        <v>0.99717453408842016</v>
      </c>
      <c r="S33">
        <f t="shared" si="37"/>
        <v>1.4448207330272513</v>
      </c>
      <c r="T33">
        <f t="shared" si="38"/>
        <v>10.023534404232247</v>
      </c>
      <c r="U33">
        <f t="shared" si="2"/>
        <v>2.0908690507999195</v>
      </c>
      <c r="V33">
        <f t="shared" si="3"/>
        <v>11.464272845529987</v>
      </c>
      <c r="X33" s="3">
        <f t="shared" si="0"/>
        <v>131.03799940920703</v>
      </c>
      <c r="Y33" s="3">
        <f t="shared" si="1"/>
        <v>3538.0259840485896</v>
      </c>
    </row>
    <row r="34" spans="1:25" x14ac:dyDescent="0.2">
      <c r="A34">
        <v>17</v>
      </c>
      <c r="B34">
        <v>64</v>
      </c>
      <c r="C34" s="3">
        <f t="shared" si="4"/>
        <v>0.99717453408842016</v>
      </c>
      <c r="D34">
        <f t="shared" si="22"/>
        <v>1.4471477346667359</v>
      </c>
      <c r="E34">
        <f t="shared" si="23"/>
        <v>10.023534404232247</v>
      </c>
      <c r="F34">
        <f t="shared" si="24"/>
        <v>1.4448207330272513</v>
      </c>
      <c r="G34">
        <f t="shared" si="25"/>
        <v>47.009046709128611</v>
      </c>
      <c r="H34" s="2">
        <f t="shared" si="26"/>
        <v>288.69249373257327</v>
      </c>
      <c r="I34" s="3">
        <f t="shared" si="27"/>
        <v>288.20172485149726</v>
      </c>
      <c r="J34" s="3">
        <f t="shared" si="28"/>
        <v>-49.07688810760078</v>
      </c>
      <c r="K34" s="3">
        <f t="shared" si="29"/>
        <v>280.40620294333843</v>
      </c>
      <c r="L34" s="3">
        <f t="shared" si="30"/>
        <v>-828.62907892348403</v>
      </c>
      <c r="M34">
        <f t="shared" si="31"/>
        <v>288.35277466675569</v>
      </c>
      <c r="N34">
        <f t="shared" si="32"/>
        <v>-33.971906581757594</v>
      </c>
      <c r="O34">
        <f t="shared" si="33"/>
        <v>280.05910143455259</v>
      </c>
      <c r="P34">
        <f t="shared" si="34"/>
        <v>-863.33922980206808</v>
      </c>
      <c r="Q34" s="3">
        <f t="shared" si="35"/>
        <v>1.5300106425590843</v>
      </c>
      <c r="R34" s="3">
        <f t="shared" si="36"/>
        <v>1.0020822228991801</v>
      </c>
      <c r="S34">
        <f t="shared" si="37"/>
        <v>1.531154656007458</v>
      </c>
      <c r="T34">
        <f t="shared" si="38"/>
        <v>10.026931594890423</v>
      </c>
      <c r="U34">
        <f t="shared" si="2"/>
        <v>2.3426829190953047</v>
      </c>
      <c r="V34">
        <f t="shared" si="3"/>
        <v>11.561274456184805</v>
      </c>
      <c r="X34" s="3">
        <f t="shared" si="0"/>
        <v>-33.981906581742777</v>
      </c>
      <c r="Y34" s="3">
        <f t="shared" si="1"/>
        <v>-577.69241188962724</v>
      </c>
    </row>
    <row r="35" spans="1:25" x14ac:dyDescent="0.2">
      <c r="A35">
        <v>8</v>
      </c>
      <c r="B35">
        <v>46</v>
      </c>
      <c r="C35" s="3">
        <f t="shared" si="4"/>
        <v>1.0020822228991801</v>
      </c>
      <c r="D35">
        <f t="shared" si="22"/>
        <v>1.5300106425590843</v>
      </c>
      <c r="E35">
        <f t="shared" si="23"/>
        <v>10.026931594890423</v>
      </c>
      <c r="F35">
        <f t="shared" si="24"/>
        <v>1.531154656007458</v>
      </c>
      <c r="G35">
        <f t="shared" si="25"/>
        <v>30.302737808947242</v>
      </c>
      <c r="H35" s="2">
        <f t="shared" si="26"/>
        <v>246.40404029465444</v>
      </c>
      <c r="I35" s="3">
        <f t="shared" si="27"/>
        <v>245.92357601630462</v>
      </c>
      <c r="J35" s="3">
        <f t="shared" si="28"/>
        <v>-48.046427834981387</v>
      </c>
      <c r="K35" s="3">
        <f t="shared" si="29"/>
        <v>242.57345490150641</v>
      </c>
      <c r="L35" s="3">
        <f t="shared" si="30"/>
        <v>-383.05853931480272</v>
      </c>
      <c r="M35">
        <f t="shared" si="31"/>
        <v>246.09019505083344</v>
      </c>
      <c r="N35">
        <f t="shared" si="32"/>
        <v>-31.384524382099244</v>
      </c>
      <c r="O35">
        <f t="shared" si="33"/>
        <v>242.2642603326895</v>
      </c>
      <c r="P35">
        <f t="shared" si="34"/>
        <v>-413.97799619649334</v>
      </c>
      <c r="Q35" s="3">
        <f t="shared" si="35"/>
        <v>1.5683164964905645</v>
      </c>
      <c r="R35" s="3">
        <f t="shared" si="36"/>
        <v>1.0068868656826784</v>
      </c>
      <c r="S35">
        <f t="shared" si="37"/>
        <v>1.5725524556271073</v>
      </c>
      <c r="T35">
        <f t="shared" si="38"/>
        <v>10.030070047328632</v>
      </c>
      <c r="U35">
        <f t="shared" si="2"/>
        <v>2.4662599577567388</v>
      </c>
      <c r="V35">
        <f t="shared" si="3"/>
        <v>11.613452460496609</v>
      </c>
      <c r="X35" s="3">
        <f t="shared" si="0"/>
        <v>-31.394524382105516</v>
      </c>
      <c r="Y35" s="3">
        <f t="shared" si="1"/>
        <v>-251.15619505684413</v>
      </c>
    </row>
    <row r="36" spans="1:25" x14ac:dyDescent="0.2">
      <c r="G36" t="s">
        <v>20</v>
      </c>
      <c r="H36" s="2">
        <f>SQRT(SUM(H7:H35))</f>
        <v>374.70976162443748</v>
      </c>
      <c r="X36" s="3">
        <f>SQRT(SUMSQ(X7:X35))</f>
        <v>749.41952324887495</v>
      </c>
      <c r="Y36" s="3">
        <f>SQRT(SUMSQ(Y7:Y35))</f>
        <v>44800.827540769969</v>
      </c>
    </row>
    <row r="39" spans="1:25" x14ac:dyDescent="0.2">
      <c r="C39" t="s">
        <v>21</v>
      </c>
    </row>
    <row r="40" spans="1:25" x14ac:dyDescent="0.2">
      <c r="C40" t="s">
        <v>20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basic1.somesteps">
                <anchor moveWithCells="1">
                  <from>
                    <xdr:col>0</xdr:col>
                    <xdr:colOff>0</xdr:colOff>
                    <xdr:row>1</xdr:row>
                    <xdr:rowOff>12700</xdr:rowOff>
                  </from>
                  <to>
                    <xdr:col>0</xdr:col>
                    <xdr:colOff>508000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reset">
                <anchor moveWithCells="1">
                  <from>
                    <xdr:col>0</xdr:col>
                    <xdr:colOff>0</xdr:colOff>
                    <xdr:row>0</xdr:row>
                    <xdr:rowOff>25400</xdr:rowOff>
                  </from>
                  <to>
                    <xdr:col>0</xdr:col>
                    <xdr:colOff>508000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27</vt:i4>
      </vt:variant>
    </vt:vector>
  </HeadingPairs>
  <TitlesOfParts>
    <vt:vector size="30" baseType="lpstr">
      <vt:lpstr>basic SGD</vt:lpstr>
      <vt:lpstr>freeze-b-range-a</vt:lpstr>
      <vt:lpstr>basic SGD 2 neuron collapse</vt:lpstr>
      <vt:lpstr>'basic SGD'!const</vt:lpstr>
      <vt:lpstr>'basic SGD 2 neuron collapse'!const</vt:lpstr>
      <vt:lpstr>'freeze-b-range-a'!const</vt:lpstr>
      <vt:lpstr>'basic SGD'!gradtarget</vt:lpstr>
      <vt:lpstr>'basic SGD 2 neuron collapse'!gradtarget</vt:lpstr>
      <vt:lpstr>'basic SGD'!histgrad</vt:lpstr>
      <vt:lpstr>'basic SGD 2 neuron collapse'!histgrad</vt:lpstr>
      <vt:lpstr>'basic SGD'!lastconst</vt:lpstr>
      <vt:lpstr>'basic SGD 2 neuron collapse'!lastconst</vt:lpstr>
      <vt:lpstr>'freeze-b-range-a'!lastconst</vt:lpstr>
      <vt:lpstr>lastconst2</vt:lpstr>
      <vt:lpstr>'basic SGD'!lastslope</vt:lpstr>
      <vt:lpstr>'basic SGD 2 neuron collapse'!lastslope</vt:lpstr>
      <vt:lpstr>'freeze-b-range-a'!lastslope</vt:lpstr>
      <vt:lpstr>lastslope2</vt:lpstr>
      <vt:lpstr>'basic SGD'!rmse</vt:lpstr>
      <vt:lpstr>'basic SGD 2 neuron collapse'!rmse</vt:lpstr>
      <vt:lpstr>'freeze-b-range-a'!rmse</vt:lpstr>
      <vt:lpstr>'basic SGD'!rmses</vt:lpstr>
      <vt:lpstr>'basic SGD 2 neuron collapse'!rmses</vt:lpstr>
      <vt:lpstr>'freeze-b-range-a'!rmses</vt:lpstr>
      <vt:lpstr>'basic SGD'!rmsestart</vt:lpstr>
      <vt:lpstr>'basic SGD 2 neuron collapse'!rmsestart</vt:lpstr>
      <vt:lpstr>'freeze-b-range-a'!rmsestart</vt:lpstr>
      <vt:lpstr>'basic SGD'!slope</vt:lpstr>
      <vt:lpstr>'basic SGD 2 neuron collapse'!slope</vt:lpstr>
      <vt:lpstr>'freeze-b-range-a'!slope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LiaoCan</dc:creator>
  <cp:lastModifiedBy>LiaoCan</cp:lastModifiedBy>
  <dcterms:created xsi:type="dcterms:W3CDTF">2022-07-12T23:42:42Z</dcterms:created>
  <dcterms:modified xsi:type="dcterms:W3CDTF">2022-07-13T00:40:05Z</dcterms:modified>
</cp:coreProperties>
</file>